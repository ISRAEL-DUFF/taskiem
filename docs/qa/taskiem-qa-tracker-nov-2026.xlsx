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Test cases" sheetId="3" state="visible" r:id="rId5"/>
    <sheet name="Bugs" sheetId="4" state="visible" r:id="rId6"/>
    <sheet name="Daily log" sheetId="5" state="visible" r:id="rId7"/>
    <sheet name="Exploratory" sheetId="6" state="visible" r:id="rId8"/>
    <sheet name="Accounts" sheetId="7" state="visible" r:id="rId9"/>
    <sheet name="Lists" sheetId="8" state="hidden" r:id="rId10"/>
  </sheets>
  <definedNames>
    <definedName function="false" hidden="true" localSheetId="3" name="_xlnm._FilterDatabase" vbProcedure="false">Bugs!$A$3:$W$303</definedName>
    <definedName function="false" hidden="true" localSheetId="2" name="_xlnm._FilterDatabase" vbProcedure="false">'Test cases'!$A$1:$N$380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<sst xmlns="http://schemas.openxmlformats.org/spreadsheetml/2006/main" count="2468" uniqueCount="1655">
  <si>
    <t xml:space="preserve">Taskiem QA tracker: 2 to 27 November 2026</t>
  </si>
  <si>
    <t xml:space="preserve">ISPEND DIGITAL SERVICES LTD · Confidential · Goes with the QA test plan</t>
  </si>
  <si>
    <t xml:space="preserve">How to use it</t>
  </si>
  <si>
    <t xml:space="preserve">Fill in</t>
  </si>
  <si>
    <t xml:space="preserve">Only the shaded (light green-grey) columns. Everything else is filled in already or counts itself.</t>
  </si>
  <si>
    <t xml:space="preserve">Test cases</t>
  </si>
  <si>
    <t xml:space="preserve">One row per case, already in the order of the plan, with its planned day. Filter by Day to see today's cases. Fill in Result, Date run, Device and browser, Bug IDs and Notes.</t>
  </si>
  <si>
    <t xml:space="preserve">Bugs</t>
  </si>
  <si>
    <t xml:space="preserve">One row per bug. Row 4 is an example: copy its style, then delete it before your first weekly report. IDs go BUG-001, BUG-002… and are never reused.</t>
  </si>
  <si>
    <t xml:space="preserve">Daily log</t>
  </si>
  <si>
    <t xml:space="preserve">One row per day, already dated. The case counts fill themselves from the Test cases tab; you fill in the rest by 17:30.</t>
  </si>
  <si>
    <t xml:space="preserve">Exploratory</t>
  </si>
  <si>
    <t xml:space="preserve">The five planned sessions with their charters. Fill in what you did and found.</t>
  </si>
  <si>
    <t xml:space="preserve">Accounts</t>
  </si>
  <si>
    <t xml:space="preserve">Your test identities and organisations. Never write a password here.</t>
  </si>
  <si>
    <t xml:space="preserve">Summary</t>
  </si>
  <si>
    <t xml:space="preserve">Counts that fill themselves: results by area and by day, bugs by severity and status, and the KPIs. Copy these into your weekly report.</t>
  </si>
  <si>
    <t xml:space="preserve">Result words</t>
  </si>
  <si>
    <t xml:space="preserve">Pass · Pass with note · Fail · Blocked · Not run (choose from the list in the cell)</t>
  </si>
  <si>
    <t xml:space="preserve">Severity</t>
  </si>
  <si>
    <t xml:space="preserve">S1 Critical: money, data or trust at risk; message the engineering lead within 1 hour · S2 Major: a feature does not work, no way round · S3 Minor: works badly or with a way round · S4 Small: wording, looks, suggestions</t>
  </si>
  <si>
    <t xml:space="preserve">Bug status</t>
  </si>
  <si>
    <t xml:space="preserve">New · Confirmed · Needs info · In progress · Fixed: ready to retest · Closed · Reopened · Won't fix · Duplicate · Not a bug</t>
  </si>
  <si>
    <t xml:space="preserve">R</t>
  </si>
  <si>
    <t xml:space="preserve">R in the Regression column marks the 66 cases run before every release.</t>
  </si>
  <si>
    <t xml:space="preserve">Rules</t>
  </si>
  <si>
    <t xml:space="preserve">Test data only. Never a real customer's details, a real card number or a live payment key. Never a password in this file.</t>
  </si>
  <si>
    <t xml:space="preserve">Fills itself from the other tabs. Copy into the weekly report.</t>
  </si>
  <si>
    <t xml:space="preserve">Results by area</t>
  </si>
  <si>
    <t xml:space="preserve">Cases</t>
  </si>
  <si>
    <t xml:space="preserve">Pass</t>
  </si>
  <si>
    <t xml:space="preserve">Pass with note</t>
  </si>
  <si>
    <t xml:space="preserve">Fail</t>
  </si>
  <si>
    <t xml:space="preserve">Blocked</t>
  </si>
  <si>
    <t xml:space="preserve">Not run</t>
  </si>
  <si>
    <t xml:space="preserve">No result yet</t>
  </si>
  <si>
    <t xml:space="preserve">% with a result</t>
  </si>
  <si>
    <t xml:space="preserve">Smoke test</t>
  </si>
  <si>
    <t xml:space="preserve">Core platform</t>
  </si>
  <si>
    <t xml:space="preserve">Chat (Telegram)</t>
  </si>
  <si>
    <t xml:space="preserve">Reconciliation: invoices, payments and money</t>
  </si>
  <si>
    <t xml:space="preserve">Storefronts, orders, bookings, forms and agents</t>
  </si>
  <si>
    <t xml:space="preserve">Schools</t>
  </si>
  <si>
    <t xml:space="preserve">Across the product</t>
  </si>
  <si>
    <t xml:space="preserve">All</t>
  </si>
  <si>
    <t xml:space="preserve">Bugs by severity</t>
  </si>
  <si>
    <t xml:space="preserve">Logged</t>
  </si>
  <si>
    <t xml:space="preserve">Open</t>
  </si>
  <si>
    <t xml:space="preserve">Fixed: ready to retest</t>
  </si>
  <si>
    <t xml:space="preserve">Closed</t>
  </si>
  <si>
    <t xml:space="preserve">Reopened</t>
  </si>
  <si>
    <t xml:space="preserve">Won't fix, duplicate, not a bug</t>
  </si>
  <si>
    <t xml:space="preserve">Needs info</t>
  </si>
  <si>
    <t xml:space="preserve">S1</t>
  </si>
  <si>
    <t xml:space="preserve">S2</t>
  </si>
  <si>
    <t xml:space="preserve">S3</t>
  </si>
  <si>
    <t xml:space="preserve">S4</t>
  </si>
  <si>
    <t xml:space="preserve">"Open" means not Closed and not Won't fix, Duplicate or Not a bug. The example row (row 4 of Bugs) is not counted.</t>
  </si>
  <si>
    <t xml:space="preserve">KPI (plan section 9)</t>
  </si>
  <si>
    <t xml:space="preserve">Target</t>
  </si>
  <si>
    <t xml:space="preserve">Now</t>
  </si>
  <si>
    <t xml:space="preserve">Cases with a result</t>
  </si>
  <si>
    <t xml:space="preserve">Cases Not run</t>
  </si>
  <si>
    <t xml:space="preserve">Bugs reproduced without asking (never Needs info)</t>
  </si>
  <si>
    <t xml:space="preserve">Bugs not closed as Duplicate or Not a bug</t>
  </si>
  <si>
    <t xml:space="preserve">S1 bugs messaged within 1 hour</t>
  </si>
  <si>
    <t xml:space="preserve">Fixed bugs retested within 1 working day</t>
  </si>
  <si>
    <t xml:space="preserve">Daily logs done by 17:30</t>
  </si>
  <si>
    <t xml:space="preserve">Exploring sessions logged (of 5)</t>
  </si>
  <si>
    <t xml:space="preserve">Targets come from the QA test plan, section 9. Blank means nothing to measure yet.</t>
  </si>
  <si>
    <t xml:space="preserve">Results by planned day</t>
  </si>
  <si>
    <t xml:space="preserve">Date</t>
  </si>
  <si>
    <t xml:space="preserve">Planned</t>
  </si>
  <si>
    <t xml:space="preserve">With a result</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</si>
  <si>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</si>
  <si>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</si>
  <si>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</si>
  <si>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</si>
  <si>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</si>
  <si>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</si>
  <si>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</si>
  <si>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</si>
  <si>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</si>
  <si>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</si>
  <si>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</si>
  <si>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</si>
  <si>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</si>
  <si>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</si>
  <si>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Day 15</t>
  </si>
  <si>
    <t xml:space="preserve">Day 16</t>
  </si>
  <si>
    <t xml:space="preserve">Day 17</t>
  </si>
  <si>
    <t xml:space="preserve">Day 18</t>
  </si>
  <si>
    <t xml:space="preserve">Day 19</t>
  </si>
  <si>
    <t xml:space="preserve">Day 20</t>
  </si>
  <si>
    <t xml:space="preserve">ID</t>
  </si>
  <si>
    <t xml:space="preserve">Area</t>
  </si>
  <si>
    <t xml:space="preserve">Feature</t>
  </si>
  <si>
    <t xml:space="preserve">What to do</t>
  </si>
  <si>
    <t xml:space="preserve">Expected result</t>
  </si>
  <si>
    <t xml:space="preserve">Needs</t>
  </si>
  <si>
    <t xml:space="preserve">Day</t>
  </si>
  <si>
    <t xml:space="preserve">Planned date</t>
  </si>
  <si>
    <t xml:space="preserve">Regression</t>
  </si>
  <si>
    <t xml:space="preserve">Result</t>
  </si>
  <si>
    <t xml:space="preserve">Date run</t>
  </si>
  <si>
    <t xml:space="preserve">Device and browser</t>
  </si>
  <si>
    <t xml:space="preserve">Bug IDs</t>
  </si>
  <si>
    <t xml:space="preserve">Notes</t>
  </si>
  <si>
    <t xml:space="preserve">SM-01</t>
  </si>
  <si>
    <t xml:space="preserve">Smoke</t>
  </si>
  <si>
    <t xml:space="preserve">Open the staging address on a laptop and on your phone</t>
  </si>
  <si>
    <t xml:space="preserve">The sign-in page loads on both, in Taskiem's look, with no error</t>
  </si>
  <si>
    <t xml:space="preserve">SM-02</t>
  </si>
  <si>
    <t xml:space="preserve">Sign in with the test owner account</t>
  </si>
  <si>
    <t xml:space="preserve">You land on the dashboard; your organisation's name shows</t>
  </si>
  <si>
    <t xml:space="preserve">SM-03</t>
  </si>
  <si>
    <t xml:space="preserve">Open every item in the menu once</t>
  </si>
  <si>
    <t xml:space="preserve">Each page opens; nothing is blank or shows a technical error</t>
  </si>
  <si>
    <t xml:space="preserve">SM-04</t>
  </si>
  <si>
    <t xml:space="preserve">Run the workflow "Remind me every day" from its template, once</t>
  </si>
  <si>
    <t xml:space="preserve">The run completes and the reminder arrives on Telegram</t>
  </si>
  <si>
    <t xml:space="preserve">Telegram</t>
  </si>
  <si>
    <t xml:space="preserve">SM-05</t>
  </si>
  <si>
    <t xml:space="preserve">Open the operator console (/ops)</t>
  </si>
  <si>
    <t xml:space="preserve">Storefront reviews, Reports and Field agents show</t>
  </si>
  <si>
    <t xml:space="preserve">Operator account</t>
  </si>
  <si>
    <t xml:space="preserve">SM-06</t>
  </si>
  <si>
    <t xml:space="preserve">Create a data table with one column and add one row</t>
  </si>
  <si>
    <t xml:space="preserve">The table and row are saved</t>
  </si>
  <si>
    <t xml:space="preserve">SM-07</t>
  </si>
  <si>
    <t xml:space="preserve">Send "help" to the Taskiem bot on Telegram</t>
  </si>
  <si>
    <t xml:space="preserve">The bot answers with what you can do, starting with your organisation's name in brackets</t>
  </si>
  <si>
    <t xml:space="preserve">SM-08</t>
  </si>
  <si>
    <t xml:space="preserve">Sign out, then try to open the dashboard address directly</t>
  </si>
  <si>
    <t xml:space="preserve">You are sent to the sign-in page</t>
  </si>
  <si>
    <t xml:space="preserve">CP-01</t>
  </si>
  <si>
    <t xml:space="preserve">Sign-up</t>
  </si>
  <si>
    <t xml:space="preserve">On the sign-in page choose "Create an account"; fill in organisation, your name, a new email and a 12+ character password</t>
  </si>
  <si>
    <t xml:space="preserve">You are signed in at once and land on Get started</t>
  </si>
  <si>
    <t xml:space="preserve">Email</t>
  </si>
  <si>
    <t xml:space="preserve">CP-02</t>
  </si>
  <si>
    <t xml:space="preserve">Try to sign up with a password of 11 characters; then with the password equal to the email</t>
  </si>
  <si>
    <t xml:space="preserve">Both refused with a plain message</t>
  </si>
  <si>
    <t xml:space="preserve">CP-03</t>
  </si>
  <si>
    <t xml:space="preserve">Try to sign up with an email that already has an account</t>
  </si>
  <si>
    <t xml:space="preserve">Refused: the email is already in use</t>
  </si>
  <si>
    <t xml:space="preserve">CP-04</t>
  </si>
  <si>
    <t xml:space="preserve">Try a throwaway mailbox address (for example a mailinator.com address) and a name containing a web link</t>
  </si>
  <si>
    <t xml:space="preserve">Both refused</t>
  </si>
  <si>
    <t xml:space="preserve">CP-05</t>
  </si>
  <si>
    <t xml:space="preserve">Make 6 sign-ups from the same network in one day</t>
  </si>
  <si>
    <t xml:space="preserve">The sixth is refused (limit of 5 a day per address, unless engineering changed it)</t>
  </si>
  <si>
    <t xml:space="preserve">CP-06</t>
  </si>
  <si>
    <t xml:space="preserve">Email confirmation</t>
  </si>
  <si>
    <t xml:space="preserve">Open the confirmation email and click the link</t>
  </si>
  <si>
    <t xml:space="preserve">Email confirmed; the checklist ticks "Confirm your email"</t>
  </si>
  <si>
    <t xml:space="preserve">CP-07</t>
  </si>
  <si>
    <t xml:space="preserve">Click the same confirmation link a second time; then use a link older than 24 hours if you have one</t>
  </si>
  <si>
    <t xml:space="preserve">The used link does not work again; the old link is refused</t>
  </si>
  <si>
    <t xml:space="preserve">CP-08</t>
  </si>
  <si>
    <t xml:space="preserve">Before confirming, try to invite a member and to create an API key</t>
  </si>
  <si>
    <t xml:space="preserve">Both refused with "confirm your email address first"</t>
  </si>
  <si>
    <t xml:space="preserve">CP-09</t>
  </si>
  <si>
    <t xml:space="preserve">On Get started press "Send the link again" four times</t>
  </si>
  <si>
    <t xml:space="preserve">Three are sent; the fourth asks you to wait (one every 20 minutes)</t>
  </si>
  <si>
    <t xml:space="preserve">CP-10</t>
  </si>
  <si>
    <t xml:space="preserve">Get started</t>
  </si>
  <si>
    <t xml:space="preserve">Work through the checklist: confirm email, link Telegram, pick a template, connect, publish, run once, invite a teammate</t>
  </si>
  <si>
    <t xml:space="preserve">Each step ticks itself when done; the page shows the minutes from sign-up to first successful run</t>
  </si>
  <si>
    <t xml:space="preserve">CP-11</t>
  </si>
  <si>
    <t xml:space="preserve">Time yourself from sign-up to the first successful run using the guided first workflow</t>
  </si>
  <si>
    <t xml:space="preserve">Under 15 minutes. Record the time and what slowed you down</t>
  </si>
  <si>
    <t xml:space="preserve">CP-12</t>
  </si>
  <si>
    <t xml:space="preserve">Open the help panels on Get started, Templates, Connections and Settings</t>
  </si>
  <si>
    <t xml:space="preserve">Each shows a few plain sentences; any "learn more" link opens a real page</t>
  </si>
  <si>
    <t xml:space="preserve">CP-13</t>
  </si>
  <si>
    <t xml:space="preserve">Sign-in</t>
  </si>
  <si>
    <t xml:space="preserve">Sign in with a wrong password several times</t>
  </si>
  <si>
    <t xml:space="preserve">Refused each time with a plain message; after many tries you are slowed down</t>
  </si>
  <si>
    <t xml:space="preserve">CP-14</t>
  </si>
  <si>
    <t xml:space="preserve">Password</t>
  </si>
  <si>
    <t xml:space="preserve">Change your password under Account; sign out and in with the new one</t>
  </si>
  <si>
    <t xml:space="preserve">Old password no longer works; new one does</t>
  </si>
  <si>
    <t xml:space="preserve">CP-15</t>
  </si>
  <si>
    <t xml:space="preserve">Use "forgot password" (if offered) and follow the email link</t>
  </si>
  <si>
    <t xml:space="preserve">You can set a new password; the link works once</t>
  </si>
  <si>
    <t xml:space="preserve">CP-16</t>
  </si>
  <si>
    <t xml:space="preserve">Passkey</t>
  </si>
  <si>
    <t xml:space="preserve">Under Account add a passkey (phone fingerprint or PIN); sign out; "Sign in with a passkey"</t>
  </si>
  <si>
    <t xml:space="preserve">Signed in without a password</t>
  </si>
  <si>
    <t xml:space="preserve">Phone</t>
  </si>
  <si>
    <t xml:space="preserve">CP-17</t>
  </si>
  <si>
    <t xml:space="preserve">Authenticator</t>
  </si>
  <si>
    <t xml:space="preserve">Under Account set up an authenticator app (Google Authenticator or similar) and confirm a code</t>
  </si>
  <si>
    <t xml:space="preserve">Enrolled. Five wrong codes in a row lock codes for 15 minutes</t>
  </si>
  <si>
    <t xml:space="preserve">CP-18</t>
  </si>
  <si>
    <t xml:space="preserve">Sessions</t>
  </si>
  <si>
    <t xml:space="preserve">Sign in on laptop and phone; sign out on one</t>
  </si>
  <si>
    <t xml:space="preserve">The other session still works until signed out; signed-out pages are not reachable with Back</t>
  </si>
  <si>
    <t xml:space="preserve">CP-19</t>
  </si>
  <si>
    <t xml:space="preserve">Members</t>
  </si>
  <si>
    <t xml:space="preserve">Members &amp; keys: invite a second email as Operator; accept the invitation from that mailbox</t>
  </si>
  <si>
    <t xml:space="preserve">The person joins with the Operator role</t>
  </si>
  <si>
    <t xml:space="preserve">Email, second person</t>
  </si>
  <si>
    <t xml:space="preserve">CP-20</t>
  </si>
  <si>
    <t xml:space="preserve">Invite someone, then cancel the invitation before it is accepted</t>
  </si>
  <si>
    <t xml:space="preserve">The link no longer works</t>
  </si>
  <si>
    <t xml:space="preserve">CP-21</t>
  </si>
  <si>
    <t xml:space="preserve">Roles</t>
  </si>
  <si>
    <t xml:space="preserve">Signed in as a Viewer, try to edit a workflow, create a table and open Members</t>
  </si>
  <si>
    <t xml:space="preserve">Not allowed: buttons hidden or a plain refusal, never a crash</t>
  </si>
  <si>
    <t xml:space="preserve">Second person</t>
  </si>
  <si>
    <t xml:space="preserve">CP-22</t>
  </si>
  <si>
    <t xml:space="preserve">As a Viewer, paste the address of an owner-only page (for example /settings/billing or a workflow's edit page) into the browser</t>
  </si>
  <si>
    <t xml:space="preserve">Refused; no data shown</t>
  </si>
  <si>
    <t xml:space="preserve">CP-23</t>
  </si>
  <si>
    <t xml:space="preserve">Custom roles</t>
  </si>
  <si>
    <t xml:space="preserve">Create a custom role (for example Cashier) with two permissions; give it to a member</t>
  </si>
  <si>
    <t xml:space="preserve">The member can do exactly those two things and nothing else</t>
  </si>
  <si>
    <t xml:space="preserve">CP-24</t>
  </si>
  <si>
    <t xml:space="preserve">Remove a member; the removed person tries to sign in to the organisation</t>
  </si>
  <si>
    <t xml:space="preserve">They no longer reach it</t>
  </si>
  <si>
    <t xml:space="preserve">CP-25</t>
  </si>
  <si>
    <t xml:space="preserve">Audit log</t>
  </si>
  <si>
    <t xml:space="preserve">Open the audit log after the steps above</t>
  </si>
  <si>
    <t xml:space="preserve">Every invite, role change, removal and sign-in change is listed with who and when</t>
  </si>
  <si>
    <t xml:space="preserve">CP-26</t>
  </si>
  <si>
    <t xml:space="preserve">Personal data</t>
  </si>
  <si>
    <t xml:space="preserve">Open a table with phone numbers as a member without the reveal permission; then as owner press Show</t>
  </si>
  <si>
    <t xml:space="preserve">Masked for the member (•••4567); shown for the owner, and the reveal appears in the audit log</t>
  </si>
  <si>
    <t xml:space="preserve">CP-27</t>
  </si>
  <si>
    <t xml:space="preserve">Templates</t>
  </si>
  <si>
    <t xml:space="preserve">Open Templates; search for "reminder"; open three templates</t>
  </si>
  <si>
    <t xml:space="preserve">Search finds them; each template page says what it does and what it needs in plain words</t>
  </si>
  <si>
    <t xml:space="preserve">CP-28</t>
  </si>
  <si>
    <t xml:space="preserve">Set up "Remind me every day" through the guided screen; publish; run once</t>
  </si>
  <si>
    <t xml:space="preserve">Completes; the reminder arrives on Telegram</t>
  </si>
  <si>
    <t xml:space="preserve">CP-29</t>
  </si>
  <si>
    <t xml:space="preserve">Set up "Weekly SMS reminders from your debtors data table": let it make the debtors table; add two debtors with your own phone numbers; run it</t>
  </si>
  <si>
    <t xml:space="preserve">Each debtor with a balance gets an SMS; the run lists each one</t>
  </si>
  <si>
    <t xml:space="preserve">SMS</t>
  </si>
  <si>
    <t xml:space="preserve">CP-30</t>
  </si>
  <si>
    <t xml:space="preserve">Set up "Send an invoice and hear when it is paid"</t>
  </si>
  <si>
    <t xml:space="preserve">Invoice is sent; when paid with a Paystack test card the owner hears</t>
  </si>
  <si>
    <t xml:space="preserve">Paystack test, SMS or email</t>
  </si>
  <si>
    <t xml:space="preserve">CP-31</t>
  </si>
  <si>
    <t xml:space="preserve">Fill a template's details with mistakes: leave a required box empty, type letters in a time box</t>
  </si>
  <si>
    <t xml:space="preserve">Each mistake is pointed out in plain words before saving</t>
  </si>
  <si>
    <t xml:space="preserve">CP-32</t>
  </si>
  <si>
    <t xml:space="preserve">Connections</t>
  </si>
  <si>
    <t xml:space="preserve">Connections: connect Paystack with the TEST secret key</t>
  </si>
  <si>
    <t xml:space="preserve">Accepted and checked; shown as test mode</t>
  </si>
  <si>
    <t xml:space="preserve">Paystack test</t>
  </si>
  <si>
    <t xml:space="preserve">CP-33</t>
  </si>
  <si>
    <t xml:space="preserve">Try to connect Paystack with a wrong key</t>
  </si>
  <si>
    <t xml:space="preserve">Refused with a plain message; nothing saved</t>
  </si>
  <si>
    <t xml:space="preserve">CP-34</t>
  </si>
  <si>
    <t xml:space="preserve">Switch a connection off; try to publish a workflow that uses it</t>
  </si>
  <si>
    <t xml:space="preserve">Publishing is refused, listing the connection as needed, with a Connect button</t>
  </si>
  <si>
    <t xml:space="preserve">CP-35</t>
  </si>
  <si>
    <t xml:space="preserve">Readiness</t>
  </si>
  <si>
    <t xml:space="preserve">Publish a workflow that writes to a table that does not exist</t>
  </si>
  <si>
    <t xml:space="preserve">Refused; offered "Make it" with the right columns; after making it, publishing succeeds</t>
  </si>
  <si>
    <t xml:space="preserve">CP-36</t>
  </si>
  <si>
    <t xml:space="preserve">Builder</t>
  </si>
  <si>
    <t xml:space="preserve">Workflows &gt; New workflow; try each "When should it run?" card once</t>
  </si>
  <si>
    <t xml:space="preserve">Each opens the builder with the right first card</t>
  </si>
  <si>
    <t xml:space="preserve">CP-37</t>
  </si>
  <si>
    <t xml:space="preserve">Build: On a schedule &gt; send yourself a Telegram message (Tell me). Use + to add the step. Test workflow</t>
  </si>
  <si>
    <t xml:space="preserve">Each step gets a green tick; nothing is actually sent during a test</t>
  </si>
  <si>
    <t xml:space="preserve">CP-38</t>
  </si>
  <si>
    <t xml:space="preserve">Add an If with a Yes and an empty No; test with values that take each path</t>
  </si>
  <si>
    <t xml:space="preserve">The path not taken is faded "Did not need to run"</t>
  </si>
  <si>
    <t xml:space="preserve">CP-39</t>
  </si>
  <si>
    <t xml:space="preserve">Add a value from an earlier step into a message using "/" or Add a field</t>
  </si>
  <si>
    <t xml:space="preserve">The value appears in the message when the workflow runs</t>
  </si>
  <si>
    <t xml:space="preserve">CP-40</t>
  </si>
  <si>
    <t xml:space="preserve">Move cards, Tidy up, Undo and Redo, add a note, delete a step</t>
  </si>
  <si>
    <t xml:space="preserve">Each works; deleting a step joins the steps around it</t>
  </si>
  <si>
    <t xml:space="preserve">CP-41</t>
  </si>
  <si>
    <t xml:space="preserve">Save draft; publish; Start run; open the Runs tab</t>
  </si>
  <si>
    <t xml:space="preserve">A new version is saved; the run appears with each step's result</t>
  </si>
  <si>
    <t xml:space="preserve">CP-42</t>
  </si>
  <si>
    <t xml:space="preserve">Open the same workflow in two browser tabs; change and save in both</t>
  </si>
  <si>
    <t xml:space="preserve">The second save merges or shows the conflict to choose; nothing is lost silently</t>
  </si>
  <si>
    <t xml:space="preserve">CP-43</t>
  </si>
  <si>
    <t xml:space="preserve">Open the builder on your phone</t>
  </si>
  <si>
    <t xml:space="preserve">Steps show as a list; a step's window opens full screen; Save draft and Publish work</t>
  </si>
  <si>
    <t xml:space="preserve">CP-44</t>
  </si>
  <si>
    <t xml:space="preserve">Try to publish a workflow with no steps</t>
  </si>
  <si>
    <t xml:space="preserve">Refused with a plain message</t>
  </si>
  <si>
    <t xml:space="preserve">CP-45</t>
  </si>
  <si>
    <t xml:space="preserve">Plain words</t>
  </si>
  <si>
    <t xml:space="preserve">Across the builder with Advanced OFF, look for technical words (JSON, schema, expression, cron, kobo, token, webhook, payload, API key)</t>
  </si>
  <si>
    <t xml:space="preserve">None appear outside Details or Advanced. Log each one found</t>
  </si>
  <si>
    <t xml:space="preserve">CP-46</t>
  </si>
  <si>
    <t xml:space="preserve">Runs</t>
  </si>
  <si>
    <t xml:space="preserve">Make a run fail on purpose (for example a message to an invalid phone number); open the run</t>
  </si>
  <si>
    <t xml:space="preserve">The failed step is marked; the error is in plain words, technical detail under Details</t>
  </si>
  <si>
    <t xml:space="preserve">CP-47</t>
  </si>
  <si>
    <t xml:space="preserve">Use the run list filters (status, workflow); open a running run</t>
  </si>
  <si>
    <t xml:space="preserve">Filters work; the live view updates as steps finish</t>
  </si>
  <si>
    <t xml:space="preserve">CP-48</t>
  </si>
  <si>
    <t xml:space="preserve">AI builder</t>
  </si>
  <si>
    <t xml:space="preserve">Describe it: "every Friday at 10am text the customers in my debtors table who still owe me"</t>
  </si>
  <si>
    <t xml:space="preserve">A draft is built, read back as plain numbered steps, and saved only after you confirm</t>
  </si>
  <si>
    <t xml:space="preserve">AI key on staging</t>
  </si>
  <si>
    <t xml:space="preserve">CP-49</t>
  </si>
  <si>
    <t xml:space="preserve">Ask it for something that moves money ("pay my staff every month end")</t>
  </si>
  <si>
    <t xml:space="preserve">It drafts with an approval before any payment; it never publishes by itself</t>
  </si>
  <si>
    <t xml:space="preserve">CP-50</t>
  </si>
  <si>
    <t xml:space="preserve">Ask for nonsense, or something Taskiem cannot do</t>
  </si>
  <si>
    <t xml:space="preserve">A polite answer, no broken draft</t>
  </si>
  <si>
    <t xml:space="preserve">CP-51</t>
  </si>
  <si>
    <t xml:space="preserve">AI repair</t>
  </si>
  <si>
    <t xml:space="preserve">On a failed run, open the repair suggestion (if shown)</t>
  </si>
  <si>
    <t xml:space="preserve">It explains the fix in plain words; accepting needs a normal publish</t>
  </si>
  <si>
    <t xml:space="preserve">CP-52</t>
  </si>
  <si>
    <t xml:space="preserve">Tables</t>
  </si>
  <si>
    <t xml:space="preserve">Tables &gt; New table "debtors": name (text, required), phone (phone), balance (number), paid (yes/no)</t>
  </si>
  <si>
    <t xml:space="preserve">Created (the first table can take a minute or two)</t>
  </si>
  <si>
    <t xml:space="preserve">CP-53</t>
  </si>
  <si>
    <t xml:space="preserve">Add rows: a correct one; one with no name; one with letters in balance; one with a phone in local form 080…</t>
  </si>
  <si>
    <t xml:space="preserve">Bad rows refused with the reason; the phone is stored as +234…</t>
  </si>
  <si>
    <t xml:space="preserve">CP-54</t>
  </si>
  <si>
    <t xml:space="preserve">Import a CSV of 50 rows with 3 bad rows; export the table as CSV</t>
  </si>
  <si>
    <t xml:space="preserve">Good rows in, bad rows reported with their line; export opens in Excel correctly</t>
  </si>
  <si>
    <t xml:space="preserve">CSV file</t>
  </si>
  <si>
    <t xml:space="preserve">CP-55</t>
  </si>
  <si>
    <t xml:space="preserve">Add a column; drop a column; try to add a required column to a table that has rows</t>
  </si>
  <si>
    <t xml:space="preserve">Add and drop work (drop asks to confirm); the required column is refused</t>
  </si>
  <si>
    <t xml:space="preserve">CP-56</t>
  </si>
  <si>
    <t xml:space="preserve">Delete a table used by a published workflow</t>
  </si>
  <si>
    <t xml:space="preserve">You are warned or refused; nothing breaks silently</t>
  </si>
  <si>
    <t xml:space="preserve">CP-57</t>
  </si>
  <si>
    <t xml:space="preserve">Approvals</t>
  </si>
  <si>
    <t xml:space="preserve">Workflow with an approval step for role Owner; start it; approve from the Approvals inbox</t>
  </si>
  <si>
    <t xml:space="preserve">The run waits, then continues after approval</t>
  </si>
  <si>
    <t xml:space="preserve">CP-58</t>
  </si>
  <si>
    <t xml:space="preserve">Same, but reject</t>
  </si>
  <si>
    <t xml:space="preserve">The run takes the rejected path or stops, as designed</t>
  </si>
  <si>
    <t xml:space="preserve">CP-59</t>
  </si>
  <si>
    <t xml:space="preserve">Approval needing two people (four-eyes); the person who started it tries to approve</t>
  </si>
  <si>
    <t xml:space="preserve">Self-approval refused; a second person can approve</t>
  </si>
  <si>
    <t xml:space="preserve">CP-60</t>
  </si>
  <si>
    <t xml:space="preserve">Approval policy with step-up (authenticator); approve</t>
  </si>
  <si>
    <t xml:space="preserve">Asks for the authenticator code or passkey before accepting</t>
  </si>
  <si>
    <t xml:space="preserve">CP-61</t>
  </si>
  <si>
    <t xml:space="preserve">Delegate your approval role to a colleague for 2 days</t>
  </si>
  <si>
    <t xml:space="preserve">The colleague sees requests marked "covering for…"; ending the delegation stops it</t>
  </si>
  <si>
    <t xml:space="preserve">CP-62</t>
  </si>
  <si>
    <t xml:space="preserve">Leave an approval past its timeout</t>
  </si>
  <si>
    <t xml:space="preserve">It does what the step says on timeout (reject, fail or escalate)</t>
  </si>
  <si>
    <t xml:space="preserve">CP-63</t>
  </si>
  <si>
    <t xml:space="preserve">Settings</t>
  </si>
  <si>
    <t xml:space="preserve">Secrets &amp; settings: add a setting, a secret; use both in a workflow</t>
  </si>
  <si>
    <t xml:space="preserve">Workflow reads them; the secret is never shown again in full</t>
  </si>
  <si>
    <t xml:space="preserve">CP-64</t>
  </si>
  <si>
    <t xml:space="preserve">Turn the Advanced switch on and off</t>
  </si>
  <si>
    <t xml:space="preserve">Advanced shows step ids, Code and JSON tabs; off hides them</t>
  </si>
  <si>
    <t xml:space="preserve">CP-65</t>
  </si>
  <si>
    <t xml:space="preserve">Alerts</t>
  </si>
  <si>
    <t xml:space="preserve">Settings &gt; Alerts: a Telegram alert channel for failed runs; make a run fail</t>
  </si>
  <si>
    <t xml:space="preserve">The alert arrives on Telegram</t>
  </si>
  <si>
    <t xml:space="preserve">CP-66</t>
  </si>
  <si>
    <t xml:space="preserve">People you message</t>
  </si>
  <si>
    <t xml:space="preserve">Settings &gt; People you message: a customer opts in to Telegram updates via a form's thank-you page; then sends STOP</t>
  </si>
  <si>
    <t xml:space="preserve">Updates arrive on Telegram, not SMS; after STOP they stop; Remove removes the person</t>
  </si>
  <si>
    <t xml:space="preserve">Telegram, second Telegram account</t>
  </si>
  <si>
    <t xml:space="preserve">CP-67</t>
  </si>
  <si>
    <t xml:space="preserve">Email trigger</t>
  </si>
  <si>
    <t xml:space="preserve">A workflow started by an email; send an email to its address</t>
  </si>
  <si>
    <t xml:space="preserve">A run starts with the email's details</t>
  </si>
  <si>
    <t xml:space="preserve">Mail domain on staging</t>
  </si>
  <si>
    <t xml:space="preserve">CP-68</t>
  </si>
  <si>
    <t xml:space="preserve">Phone app</t>
  </si>
  <si>
    <t xml:space="preserve">On your phone, "Add to Home screen"; open Taskiem from the icon; approve something from Home</t>
  </si>
  <si>
    <t xml:space="preserve">Opens like an app; approving works</t>
  </si>
  <si>
    <t xml:space="preserve">CP-69</t>
  </si>
  <si>
    <t xml:space="preserve">Languages</t>
  </si>
  <si>
    <t xml:space="preserve">Switch the language (Pidgin, Yoruba, Hausa, Igbo) if offered</t>
  </si>
  <si>
    <t xml:space="preserve">Messages change language. Note they are drafts awaiting native-speaker review; log only broken screens, not wording</t>
  </si>
  <si>
    <t xml:space="preserve">CP-70</t>
  </si>
  <si>
    <t xml:space="preserve">Billing</t>
  </si>
  <si>
    <t xml:space="preserve">Settings &gt; Billing (only if engineering turns billing on for a test organisation): view the trial, choose a plan, pay with a Paystack test card</t>
  </si>
  <si>
    <t xml:space="preserve">Plan changes after payment; an invoice with VAT appears</t>
  </si>
  <si>
    <t xml:space="preserve">Paystack test, billing on</t>
  </si>
  <si>
    <t xml:space="preserve">CH-01</t>
  </si>
  <si>
    <t xml:space="preserve">Telegram linking</t>
  </si>
  <si>
    <t xml:space="preserve">Account &gt; Telegram: Link Telegram; confirm it is you; open the link on your phone; press Start</t>
  </si>
  <si>
    <t xml:space="preserve">The bot says your account is linked</t>
  </si>
  <si>
    <t xml:space="preserve">CH-02</t>
  </si>
  <si>
    <t xml:space="preserve">Open the same link again; open a link older than 10 minutes</t>
  </si>
  <si>
    <t xml:space="preserve">CH-03</t>
  </si>
  <si>
    <t xml:space="preserve">Unlink in the web app; send "status" to the bot</t>
  </si>
  <si>
    <t xml:space="preserve">The bot no longer acts for you</t>
  </si>
  <si>
    <t xml:space="preserve">CH-04</t>
  </si>
  <si>
    <t xml:space="preserve">Chat</t>
  </si>
  <si>
    <t xml:space="preserve">Send help, status, "what failed today?"</t>
  </si>
  <si>
    <t xml:space="preserve">Correct answers for your organisation; personal data masked</t>
  </si>
  <si>
    <t xml:space="preserve">CH-05</t>
  </si>
  <si>
    <t xml:space="preserve">Send "run &lt;workflow name&gt;"; answer each input; reply yes</t>
  </si>
  <si>
    <t xml:space="preserve">Nothing starts before yes; then the run starts and you hear how it ended</t>
  </si>
  <si>
    <t xml:space="preserve">CH-06</t>
  </si>
  <si>
    <t xml:space="preserve">During "run", give a wrong value (letters for an amount); then send cancel</t>
  </si>
  <si>
    <t xml:space="preserve">The wrong value is explained and asked again; cancel drops it</t>
  </si>
  <si>
    <t xml:space="preserve">CH-07</t>
  </si>
  <si>
    <t xml:space="preserve">Send "run" with a workflow name that does not exist, or one you may not start</t>
  </si>
  <si>
    <t xml:space="preserve">A polite answer; nothing starts</t>
  </si>
  <si>
    <t xml:space="preserve">CH-08</t>
  </si>
  <si>
    <t xml:space="preserve">Chat approvals</t>
  </si>
  <si>
    <t xml:space="preserve">Start a workflow with an approval; approve with the Approve button on Telegram</t>
  </si>
  <si>
    <t xml:space="preserve">The run continues; pressing the same button again does nothing</t>
  </si>
  <si>
    <t xml:space="preserve">CH-09</t>
  </si>
  <si>
    <t xml:space="preserve">An approval that needs step-up; tap Approve</t>
  </si>
  <si>
    <t xml:space="preserve">You get a link; it works signed in with passkey or code within 10 minutes; the decision is recorded</t>
  </si>
  <si>
    <t xml:space="preserve">CH-10</t>
  </si>
  <si>
    <t xml:space="preserve">Send "approvals"</t>
  </si>
  <si>
    <t xml:space="preserve">Waiting requests are sent again with fresh buttons (three at most)</t>
  </si>
  <si>
    <t xml:space="preserve">CH-11</t>
  </si>
  <si>
    <t xml:space="preserve">Chat tables</t>
  </si>
  <si>
    <t xml:space="preserve">Send tables; "add to debtors"; answer each column; yes</t>
  </si>
  <si>
    <t xml:space="preserve">The row is added with values checked; personal values masked in the reply</t>
  </si>
  <si>
    <t xml:space="preserve">CH-12</t>
  </si>
  <si>
    <t xml:space="preserve">Send "find debtors Chidi"</t>
  </si>
  <si>
    <t xml:space="preserve">Up to five rows, masked, and how many more</t>
  </si>
  <si>
    <t xml:space="preserve">CH-13</t>
  </si>
  <si>
    <t xml:space="preserve">Chat build</t>
  </si>
  <si>
    <t xml:space="preserve">Send "build every Friday text my customers who owe me"</t>
  </si>
  <si>
    <t xml:space="preserve">Plain steps read back; draft saved only after yes; never published from chat</t>
  </si>
  <si>
    <t xml:space="preserve">Telegram, AI key</t>
  </si>
  <si>
    <t xml:space="preserve">CH-14</t>
  </si>
  <si>
    <t xml:space="preserve">Chat money</t>
  </si>
  <si>
    <t xml:space="preserve">Send "invoice Ada 25,000 for 5 bags of rice"; give a phone; yes</t>
  </si>
  <si>
    <t xml:space="preserve">Invoice shown with the number masked; sent by SMS after yes</t>
  </si>
  <si>
    <t xml:space="preserve">Telegram, SMS</t>
  </si>
  <si>
    <t xml:space="preserve">CH-15</t>
  </si>
  <si>
    <t xml:space="preserve">Send "spent 12k on diesel at Total" and "cash in 20,000 till"</t>
  </si>
  <si>
    <t xml:space="preserve">Each is recorded in the money log after yes</t>
  </si>
  <si>
    <t xml:space="preserve">CH-16</t>
  </si>
  <si>
    <t xml:space="preserve">Belong to two organisations; send "switch"; then "switch &lt;name&gt;"</t>
  </si>
  <si>
    <t xml:space="preserve">Lists them; then works in the chosen one; every message starts with its name</t>
  </si>
  <si>
    <t xml:space="preserve">CH-17</t>
  </si>
  <si>
    <t xml:space="preserve">Add the bot to a Telegram group and send "status" there</t>
  </si>
  <si>
    <t xml:space="preserve">The bot does not answer in groups</t>
  </si>
  <si>
    <t xml:space="preserve">CH-18</t>
  </si>
  <si>
    <t xml:space="preserve">Send random text, a sticker, a very long message</t>
  </si>
  <si>
    <t xml:space="preserve">A polite answer; no crash; no technical words</t>
  </si>
  <si>
    <t xml:space="preserve">CH-19</t>
  </si>
  <si>
    <t xml:space="preserve">Send a voice note (if voice notes are on)</t>
  </si>
  <si>
    <t xml:space="preserve">It is understood, or a polite "not available"</t>
  </si>
  <si>
    <t xml:space="preserve">CH-20</t>
  </si>
  <si>
    <t xml:space="preserve">Chat roles</t>
  </si>
  <si>
    <t xml:space="preserve">As a Viewer, send "run &lt;workflow&gt;" and "add to debtors"</t>
  </si>
  <si>
    <t xml:space="preserve">Refused politely, for lack of permission</t>
  </si>
  <si>
    <t xml:space="preserve">Telegram, second person</t>
  </si>
  <si>
    <t xml:space="preserve">RC-01</t>
  </si>
  <si>
    <t xml:space="preserve">Invoices</t>
  </si>
  <si>
    <t xml:space="preserve">Invoices &gt; New invoice: customer name, phone and email, one amount with a description, due date and note. Save</t>
  </si>
  <si>
    <t xml:space="preserve">Saved as Draft with the next number (INV-0001 upwards); a draft can still be changed |</t>
  </si>
  <si>
    <t xml:space="preserve">RC-02</t>
  </si>
  <si>
    <t xml:space="preserve">New invoice with item lines (3 × ₦2,000 and 1 × ₦5,000)</t>
  </si>
  <si>
    <t xml:space="preserve">Total is ₦11,000; each line shows quantity × price and its total |</t>
  </si>
  <si>
    <t xml:space="preserve">RC-03</t>
  </si>
  <si>
    <t xml:space="preserve">Press Send on a draft</t>
  </si>
  <si>
    <t xml:space="preserve">Status Sent. The customer gets an SMS and an email with the invoice link</t>
  </si>
  <si>
    <t xml:space="preserve">SMS, email</t>
  </si>
  <si>
    <t xml:space="preserve">RC-04</t>
  </si>
  <si>
    <t xml:space="preserve">Press Send again on the same invoice</t>
  </si>
  <si>
    <t xml:space="preserve">The same link is sent again; no new number or invoice</t>
  </si>
  <si>
    <t xml:space="preserve">RC-05</t>
  </si>
  <si>
    <t xml:space="preserve">Send 6 invoices to the same phone within an hour</t>
  </si>
  <si>
    <t xml:space="preserve">The 6th is Sent and works, but no message goes; the invoice says which messages went (5 an hour, 20 a day)</t>
  </si>
  <si>
    <t xml:space="preserve">RC-06</t>
  </si>
  <si>
    <t xml:space="preserve">Invoice page</t>
  </si>
  <si>
    <t xml:space="preserve">Open a draft's link, a made-up link and a mistyped link on a phone</t>
  </si>
  <si>
    <t xml:space="preserve">All three say "This invoice was not found"</t>
  </si>
  <si>
    <t xml:space="preserve">RC-07</t>
  </si>
  <si>
    <t xml:space="preserve">Open a sent invoice's link on a phone</t>
  </si>
  <si>
    <t xml:space="preserve">Business name, number, "Awaiting payment", lines, total, paid, still due, due date and note. No customer name, phone or email anywhere</t>
  </si>
  <si>
    <t xml:space="preserve">RC-08</t>
  </si>
  <si>
    <t xml:space="preserve">Overdue</t>
  </si>
  <si>
    <t xml:space="preserve">Make an invoice due today and send it; check it tomorrow (Lagos time)</t>
  </si>
  <si>
    <t xml:space="preserve">Becomes Overdue the day after the due date |</t>
  </si>
  <si>
    <t xml:space="preserve">RC-09</t>
  </si>
  <si>
    <t xml:space="preserve">Void</t>
  </si>
  <si>
    <t xml:space="preserve">Void a sent invoice with a reason</t>
  </si>
  <si>
    <t xml:space="preserve">Status Void. Page says "This invoice was cancelled." without the reason; no Pay button |</t>
  </si>
  <si>
    <t xml:space="preserve">RC-10</t>
  </si>
  <si>
    <t xml:space="preserve">Paid only by payment</t>
  </si>
  <si>
    <t xml:space="preserve">Try to set an invoice to Paid by hand anywhere</t>
  </si>
  <si>
    <t xml:space="preserve">Not possible: only a counted payment marks it paid |</t>
  </si>
  <si>
    <t xml:space="preserve">RC-11</t>
  </si>
  <si>
    <t xml:space="preserve">VAT</t>
  </si>
  <si>
    <t xml:space="preserve">Look for a VAT setting on a business's invoices</t>
  </si>
  <si>
    <t xml:space="preserve">None is promised; VAT can only be an ordinary line. Record what the app shows |</t>
  </si>
  <si>
    <t xml:space="preserve">RC-12</t>
  </si>
  <si>
    <t xml:space="preserve">Invoice settings</t>
  </si>
  <si>
    <t xml:space="preserve">Invoices &gt; Settings: prefix "ADA/"; next number 50; then try to move it back to 10</t>
  </si>
  <si>
    <t xml:space="preserve">New invoices are ADA/0050…; moving back is refused |</t>
  </si>
  <si>
    <t xml:space="preserve">RC-13</t>
  </si>
  <si>
    <t xml:space="preserve">A prefix over 12 characters, or with a space or "#"</t>
  </si>
  <si>
    <t xml:space="preserve">Refused |</t>
  </si>
  <si>
    <t xml:space="preserve">RC-14</t>
  </si>
  <si>
    <t xml:space="preserve">Amend</t>
  </si>
  <si>
    <t xml:space="preserve">On a Sent invoice, Amend &gt; Add a line (₦5,000, "delivery")</t>
  </si>
  <si>
    <t xml:space="preserve">New line "Added after the invoice was sent"; total goes up |</t>
  </si>
  <si>
    <t xml:space="preserve">RC-15</t>
  </si>
  <si>
    <t xml:space="preserve">Amend &gt; Give a discount ₦2,000</t>
  </si>
  <si>
    <t xml:space="preserve">Negative line "Discount"; total goes down |</t>
  </si>
  <si>
    <t xml:space="preserve">RC-16</t>
  </si>
  <si>
    <t xml:space="preserve">Amend &gt; Take a line out; try the same line again</t>
  </si>
  <si>
    <t xml:space="preserve">Negative "Taken out: …" line; the second is refused |</t>
  </si>
  <si>
    <t xml:space="preserve">RC-17</t>
  </si>
  <si>
    <t xml:space="preserve">On a part-paid invoice (₦10,000 total, ₦6,000 paid) give a ₦5,000 discount</t>
  </si>
  <si>
    <t xml:space="preserve">Refused: total cannot go below what was paid; suggests a refund</t>
  </si>
  <si>
    <t xml:space="preserve">RC-18</t>
  </si>
  <si>
    <t xml:space="preserve">On a paid invoice add a ₦3,000 line</t>
  </si>
  <si>
    <t xml:space="preserve">Back to Part-paid with ₦3,000 due</t>
  </si>
  <si>
    <t xml:space="preserve">RC-19</t>
  </si>
  <si>
    <t xml:space="preserve">Part-paid invoice: discount to exactly what was paid</t>
  </si>
  <si>
    <t xml:space="preserve">Becomes Paid; an "invoice paid" workflow starts once</t>
  </si>
  <si>
    <t xml:space="preserve">RC-20</t>
  </si>
  <si>
    <t xml:space="preserve">Discount the whole remaining total to ₦0</t>
  </si>
  <si>
    <t xml:space="preserve">Refused; void instead |</t>
  </si>
  <si>
    <t xml:space="preserve">RC-21</t>
  </si>
  <si>
    <t xml:space="preserve">Open a Draft</t>
  </si>
  <si>
    <t xml:space="preserve">No Amend button: drafts are edited directly |</t>
  </si>
  <si>
    <t xml:space="preserve">RC-22</t>
  </si>
  <si>
    <t xml:space="preserve">Download the invoices export after amendments</t>
  </si>
  <si>
    <t xml:space="preserve">The "amended" column shows the net change |</t>
  </si>
  <si>
    <t xml:space="preserve">RC-23</t>
  </si>
  <si>
    <t xml:space="preserve">Pay by transfer</t>
  </si>
  <si>
    <t xml:space="preserve">Invoice page: Pay this invoice &gt; Pay by bank transfer</t>
  </si>
  <si>
    <t xml:space="preserve">Account number, bank, name, amount and "Valid until HH:MM (Lagos time)"</t>
  </si>
  <si>
    <t xml:space="preserve">RC-24</t>
  </si>
  <si>
    <t xml:space="preserve">Reload while valid; after expiry press Get a new account number</t>
  </si>
  <si>
    <t xml:space="preserve">Same number on reload; a new one after expiry</t>
  </si>
  <si>
    <t xml:space="preserve">RC-25</t>
  </si>
  <si>
    <t xml:space="preserve">Pay the shown account in Paystack test; keep the page open</t>
  </si>
  <si>
    <t xml:space="preserve">Page updates itself within about 30 seconds: "Paid in full. Thank you."</t>
  </si>
  <si>
    <t xml:space="preserve">RC-26</t>
  </si>
  <si>
    <t xml:space="preserve">Pay by card</t>
  </si>
  <si>
    <t xml:space="preserve">Pay by card with a Paystack test card</t>
  </si>
  <si>
    <t xml:space="preserve">Paid within about 30 seconds; payment listed with the Paystack reference, matched exactly</t>
  </si>
  <si>
    <t xml:space="preserve">RC-27</t>
  </si>
  <si>
    <t xml:space="preserve">Payment limits</t>
  </si>
  <si>
    <t xml:space="preserve">Ask for a new account number or card link more than 5 times in an hour</t>
  </si>
  <si>
    <t xml:space="preserve">The page says to try later or contact the business</t>
  </si>
  <si>
    <t xml:space="preserve">RC-28</t>
  </si>
  <si>
    <t xml:space="preserve">Part payments</t>
  </si>
  <si>
    <t xml:space="preserve">Settings: Customers may pay part ON. Enter ₦500, then ₦4,000, then leave empty</t>
  </si>
  <si>
    <t xml:space="preserve">₦500 refused (minimum ₦1,000); ₦4,000 gives Part-paid; empty pays the balance</t>
  </si>
  <si>
    <t xml:space="preserve">RC-29</t>
  </si>
  <si>
    <t xml:space="preserve">With part payments off, open Pay this invoice</t>
  </si>
  <si>
    <t xml:space="preserve">No amount box; always the full balance |</t>
  </si>
  <si>
    <t xml:space="preserve">RC-30</t>
  </si>
  <si>
    <t xml:space="preserve">Overpayment</t>
  </si>
  <si>
    <t xml:space="preserve">Get a ₦5,000 card link and a full ₦10,000 link; pay both</t>
  </si>
  <si>
    <t xml:space="preserve">Paid; an "Overpaid" leak opens for ₦5,000</t>
  </si>
  <si>
    <t xml:space="preserve">RC-31</t>
  </si>
  <si>
    <t xml:space="preserve">Paid after void</t>
  </si>
  <si>
    <t xml:space="preserve">Get a payment link, void the invoice, then pay</t>
  </si>
  <si>
    <t xml:space="preserve">Payment counted; a "Paid after it was voided" leak opens</t>
  </si>
  <si>
    <t xml:space="preserve">RC-32</t>
  </si>
  <si>
    <t xml:space="preserve">Transfer fee setting</t>
  </si>
  <si>
    <t xml:space="preserve">Set Who pays the transfer fee to The customer</t>
  </si>
  <si>
    <t xml:space="preserve">Saved; the amount asked does not change yet (not yet applied)</t>
  </si>
  <si>
    <t xml:space="preserve">RC-33</t>
  </si>
  <si>
    <t xml:space="preserve">Invoice on Telegram</t>
  </si>
  <si>
    <t xml:space="preserve">A second person opts in to the business's Telegram updates; send them an invoice</t>
  </si>
  <si>
    <t xml:space="preserve">They also get "Invoice INV-… ₦… to pay" with Pay by transfer and Open invoice buttons</t>
  </si>
  <si>
    <t xml:space="preserve">Telegram, second person, SMS</t>
  </si>
  <si>
    <t xml:space="preserve">RC-34</t>
  </si>
  <si>
    <t xml:space="preserve">Customer presses Pay by transfer; after expiry New account number; then Open invoice</t>
  </si>
  <si>
    <t xml:space="preserve">Account details with "Valid until"; a new one after expiry; Open invoice gives the link</t>
  </si>
  <si>
    <t xml:space="preserve">Telegram, second person, Paystack test</t>
  </si>
  <si>
    <t xml:space="preserve">RC-35</t>
  </si>
  <si>
    <t xml:space="preserve">Press the buttons on a paid invoice and on a voided one</t>
  </si>
  <si>
    <t xml:space="preserve">Paid: "is paid. Thank you!" Void: can no longer be paid</t>
  </si>
  <si>
    <t xml:space="preserve">RC-36</t>
  </si>
  <si>
    <t xml:space="preserve">Customer sends STOP, presses buttons, then START</t>
  </si>
  <si>
    <t xml:space="preserve">Buttons stop working after STOP; START brings updates back</t>
  </si>
  <si>
    <t xml:space="preserve">RC-37</t>
  </si>
  <si>
    <t xml:space="preserve">Chat invoice</t>
  </si>
  <si>
    <t xml:space="preserve">Staff on Telegram: "invoice Ada 25,000 for 5 bags of rice"; then "bill Chi 10k"</t>
  </si>
  <si>
    <t xml:space="preserve">Asks for phone or email; shows invoice masked; sends after yes. 10k read as ₦10,000</t>
  </si>
  <si>
    <t xml:space="preserve">Telegram, SMS or email</t>
  </si>
  <si>
    <t xml:space="preserve">RC-38</t>
  </si>
  <si>
    <t xml:space="preserve">Reply no or cancel instead of yes</t>
  </si>
  <si>
    <t xml:space="preserve">Nothing is sent</t>
  </si>
  <si>
    <t xml:space="preserve">RC-39</t>
  </si>
  <si>
    <t xml:space="preserve">Suggestions</t>
  </si>
  <si>
    <t xml:space="preserve">Invoice for ₦7,500; bring in an unrelated ₦7,500 payment after it was sent (statement line)</t>
  </si>
  <si>
    <t xml:space="preserve">Invoices &gt; To match shows a card with the invoice suggested, reason "same amount", and Strong, Likely or Possible</t>
  </si>
  <si>
    <t xml:space="preserve">Statement file</t>
  </si>
  <si>
    <t xml:space="preserve">RC-40</t>
  </si>
  <si>
    <t xml:space="preserve">Statement line whose description is "inv0104" with a different amount</t>
  </si>
  <si>
    <t xml:space="preserve">The INV-0104 suggestion says the reference names the invoice</t>
  </si>
  <si>
    <t xml:space="preserve">RC-41</t>
  </si>
  <si>
    <t xml:space="preserve">Money dated before the invoice was sent</t>
  </si>
  <si>
    <t xml:space="preserve">That invoice is never suggested</t>
  </si>
  <si>
    <t xml:space="preserve">RC-42</t>
  </si>
  <si>
    <t xml:space="preserve">Confirm</t>
  </si>
  <si>
    <t xml:space="preserve">On a card press Match</t>
  </si>
  <si>
    <t xml:space="preserve">Paid or Part-paid; payment shows "Suggested, confirmed by &lt;you&gt;"; other suggestions close</t>
  </si>
  <si>
    <t xml:space="preserve">RC-43</t>
  </si>
  <si>
    <t xml:space="preserve">Reject</t>
  </si>
  <si>
    <t xml:space="preserve">Press Not this one</t>
  </si>
  <si>
    <t xml:space="preserve">Gone and never offered again; with none left the money moves under No invoice suggested</t>
  </si>
  <si>
    <t xml:space="preserve">RC-44</t>
  </si>
  <si>
    <t xml:space="preserve">Match by hand</t>
  </si>
  <si>
    <t xml:space="preserve">Match to another invoice… and pick one not suggested</t>
  </si>
  <si>
    <t xml:space="preserve">Counted; "Matched by hand". Only sent, unpaid invoices listed</t>
  </si>
  <si>
    <t xml:space="preserve">RC-45</t>
  </si>
  <si>
    <t xml:space="preserve">Undo</t>
  </si>
  <si>
    <t xml:space="preserve">On the invoice press Undo on that payment</t>
  </si>
  <si>
    <t xml:space="preserve">Invoice back to its earlier status; history keeps both; money returns to To match</t>
  </si>
  <si>
    <t xml:space="preserve">RC-46</t>
  </si>
  <si>
    <t xml:space="preserve">Two people at once</t>
  </si>
  <si>
    <t xml:space="preserve">Two people open the same To match card; one matches, then the other</t>
  </si>
  <si>
    <t xml:space="preserve">The second is told it is already matched</t>
  </si>
  <si>
    <t xml:space="preserve">RC-47</t>
  </si>
  <si>
    <t xml:space="preserve">Match on Telegram</t>
  </si>
  <si>
    <t xml:space="preserve">A payment that is not an exact match arrives</t>
  </si>
  <si>
    <t xml:space="preserve">Message "Is this for INV-…?" with reasons, no names, and Yes, match / No</t>
  </si>
  <si>
    <t xml:space="preserve">Telegram, statement file</t>
  </si>
  <si>
    <t xml:space="preserve">RC-48</t>
  </si>
  <si>
    <t xml:space="preserve">Press Yes, match; on another press No</t>
  </si>
  <si>
    <t xml:space="preserve">Yes: matched and status given. No: next suggestion or a web link</t>
  </si>
  <si>
    <t xml:space="preserve">RC-49</t>
  </si>
  <si>
    <t xml:space="preserve">Decide in the web app first, then press the Telegram button</t>
  </si>
  <si>
    <t xml:space="preserve">"Already matched" or "Already turned down"</t>
  </si>
  <si>
    <t xml:space="preserve">RC-50</t>
  </si>
  <si>
    <t xml:space="preserve">Split</t>
  </si>
  <si>
    <t xml:space="preserve">Customer with ₦20,000 (older) and ₦30,000 invoices; ₦60,000 comes in; Split across the customer's invoices</t>
  </si>
  <si>
    <t xml:space="preserve">Older first, then newer, editable. The ₦10,000 left becomes credit</t>
  </si>
  <si>
    <t xml:space="preserve">RC-51</t>
  </si>
  <si>
    <t xml:space="preserve">Split by hand with parts adding to more than the payment</t>
  </si>
  <si>
    <t xml:space="preserve">Refused; shows what is left</t>
  </si>
  <si>
    <t xml:space="preserve">RC-52</t>
  </si>
  <si>
    <t xml:space="preserve">Undo one part of a split</t>
  </si>
  <si>
    <t xml:space="preserve">Only that invoice goes back</t>
  </si>
  <si>
    <t xml:space="preserve">RC-53</t>
  </si>
  <si>
    <t xml:space="preserve">Customer credit</t>
  </si>
  <si>
    <t xml:space="preserve">After RC-50, open The customer's money; send them a ₦15,000 invoice</t>
  </si>
  <si>
    <t xml:space="preserve">Credit ₦10,000 shown; on Send it pays ₦10,000 and the message says ₦5,000 is left</t>
  </si>
  <si>
    <t xml:space="preserve">SMS or email</t>
  </si>
  <si>
    <t xml:space="preserve">RC-54</t>
  </si>
  <si>
    <t xml:space="preserve">Customer account number</t>
  </si>
  <si>
    <t xml:space="preserve">The customer's money &gt; Give this customer an account number (Paystack); repeat</t>
  </si>
  <si>
    <t xml:space="preserve">Issued; repeating shows the same account</t>
  </si>
  <si>
    <t xml:space="preserve">RC-55</t>
  </si>
  <si>
    <t xml:space="preserve">Enter one by hand; then register the same number for another customer</t>
  </si>
  <si>
    <t xml:space="preserve">First registered; second refused |</t>
  </si>
  <si>
    <t xml:space="preserve">RC-56</t>
  </si>
  <si>
    <t xml:space="preserve">Pay into it more than the oldest invoice</t>
  </si>
  <si>
    <t xml:space="preserve">Matched with nobody asked: oldest first, rest as credit</t>
  </si>
  <si>
    <t xml:space="preserve">Paystack test (may not be possible)</t>
  </si>
  <si>
    <t xml:space="preserve">RC-57</t>
  </si>
  <si>
    <t xml:space="preserve">Payer memory</t>
  </si>
  <si>
    <t xml:space="preserve">Confirm a payment carrying a payer name; later the same payer pays again for a new invoice</t>
  </si>
  <si>
    <t xml:space="preserve">Suggestion says "this payer paid for this customer before" (Strong)</t>
  </si>
  <si>
    <t xml:space="preserve">Payment with a payer name</t>
  </si>
  <si>
    <t xml:space="preserve">RC-58</t>
  </si>
  <si>
    <t xml:space="preserve">Press Forget this payer; same payer pays again</t>
  </si>
  <si>
    <t xml:space="preserve">No payer reason any more</t>
  </si>
  <si>
    <t xml:space="preserve">RC-59</t>
  </si>
  <si>
    <t xml:space="preserve">Automatic matching</t>
  </si>
  <si>
    <t xml:space="preserve">Settings: Match strong suggestions automatically ON; bring in a payment with the same amount and a reference naming the invoice</t>
  </si>
  <si>
    <t xml:space="preserve">Matched without asking; "Matched automatically"; Undo works</t>
  </si>
  <si>
    <t xml:space="preserve">RC-60</t>
  </si>
  <si>
    <t xml:space="preserve">Auto ON; two open invoices with the same amount; bring that amount in</t>
  </si>
  <si>
    <t xml:space="preserve">Left for a person</t>
  </si>
  <si>
    <t xml:space="preserve">RC-61</t>
  </si>
  <si>
    <t xml:space="preserve">Auto OFF; repeat RC-59</t>
  </si>
  <si>
    <t xml:space="preserve">Stays a suggestion</t>
  </si>
  <si>
    <t xml:space="preserve">RC-62</t>
  </si>
  <si>
    <t xml:space="preserve">Refunds</t>
  </si>
  <si>
    <t xml:space="preserve">Refund a card payment that paid an invoice, from the Paystack test dashboard</t>
  </si>
  <si>
    <t xml:space="preserve">A refund (out) in the money log; owners told once. Record whether the invoice reopens: the docs disagree</t>
  </si>
  <si>
    <t xml:space="preserve">Paystack test, Telegram</t>
  </si>
  <si>
    <t xml:space="preserve">RC-63</t>
  </si>
  <si>
    <t xml:space="preserve">Partial refund of a matched payment</t>
  </si>
  <si>
    <t xml:space="preserve">The rest waits in To match with a note that part went back</t>
  </si>
  <si>
    <t xml:space="preserve">RC-64</t>
  </si>
  <si>
    <t xml:space="preserve">Recorded once</t>
  </si>
  <si>
    <t xml:space="preserve">One payment with both the webhook and polling running</t>
  </si>
  <si>
    <t xml:space="preserve">Exactly one money log entry</t>
  </si>
  <si>
    <t xml:space="preserve">RC-65</t>
  </si>
  <si>
    <t xml:space="preserve">Kept tables</t>
  </si>
  <si>
    <t xml:space="preserve">Open money_log and money_matches under Tables; try to add, edit or delete</t>
  </si>
  <si>
    <t xml:space="preserve">Readable and exportable; every change refused |</t>
  </si>
  <si>
    <t xml:space="preserve">RC-66</t>
  </si>
  <si>
    <t xml:space="preserve">Invoice paid trigger</t>
  </si>
  <si>
    <t xml:space="preserve">Workflow from "Send a receipt when an invoice is paid"; publish; pay an invoice</t>
  </si>
  <si>
    <t xml:space="preserve">One run within seconds; customer thanked; owner told</t>
  </si>
  <si>
    <t xml:space="preserve">RC-67</t>
  </si>
  <si>
    <t xml:space="preserve">Undo the payment and pay again; add another payment to a paid invoice</t>
  </si>
  <si>
    <t xml:space="preserve">No second run for that invoice</t>
  </si>
  <si>
    <t xml:space="preserve">RC-68</t>
  </si>
  <si>
    <t xml:space="preserve">Payment trigger</t>
  </si>
  <si>
    <t xml:space="preserve">Workflow "When a payment is counted towards one of your invoices"; make a 2-part split</t>
  </si>
  <si>
    <t xml:space="preserve">One run per part</t>
  </si>
  <si>
    <t xml:space="preserve">RC-69</t>
  </si>
  <si>
    <t xml:space="preserve">Live only</t>
  </si>
  <si>
    <t xml:space="preserve">The same workflow published to dev only</t>
  </si>
  <si>
    <t xml:space="preserve">Nothing starts when an invoice is paid</t>
  </si>
  <si>
    <t xml:space="preserve">RC-70</t>
  </si>
  <si>
    <t xml:space="preserve">"Send an invoice and hear when it is paid" and "Chase overdue invoices every day"; run the chase twice in a day</t>
  </si>
  <si>
    <t xml:space="preserve">Send-invoice continues once paid. One reminder per period; no duplicate on the second run</t>
  </si>
  <si>
    <t xml:space="preserve">RC-71</t>
  </si>
  <si>
    <t xml:space="preserve">Ready to publish</t>
  </si>
  <si>
    <t xml:space="preserve">Publish a workflow using Paystack transfer collection before any transfer account exists</t>
  </si>
  <si>
    <t xml:space="preserve">Not blocked; note "Ask Paystack support" |</t>
  </si>
  <si>
    <t xml:space="preserve">RC-72</t>
  </si>
  <si>
    <t xml:space="preserve">Statement upload</t>
  </si>
  <si>
    <t xml:space="preserve">Money &gt; Upload statement (account "gtbank/current") with ins and outs</t>
  </si>
  <si>
    <t xml:space="preserve">"N added, 0 skipped"; lines in the log under your name; ins offered in To match</t>
  </si>
  <si>
    <t xml:space="preserve">RC-73</t>
  </si>
  <si>
    <t xml:space="preserve">Upload the same file again, then an overlapping one</t>
  </si>
  <si>
    <t xml:space="preserve">Existing lines skipped and counted; new ones added</t>
  </si>
  <si>
    <t xml:space="preserve">RC-74</t>
  </si>
  <si>
    <t xml:space="preserve">A bank-style file (separate Money in / Money out, dates like 23-Oct-2026, 1,234.50 DR, (1,234.50)); map the columns; upload a second from the same bank</t>
  </si>
  <si>
    <t xml:space="preserve">Mapping form guessed from the column names; amounts read right; the second needs no mapping</t>
  </si>
  <si>
    <t xml:space="preserve">RC-75</t>
  </si>
  <si>
    <t xml:space="preserve">A file with one unreadable line</t>
  </si>
  <si>
    <t xml:space="preserve">Nothing added; the bad line listed with the reason</t>
  </si>
  <si>
    <t xml:space="preserve">RC-76</t>
  </si>
  <si>
    <t xml:space="preserve">Cash and expenses</t>
  </si>
  <si>
    <t xml:space="preserve">Money &gt; Cash and expenses: an expense, a cash in, a cash out; press submit twice fast</t>
  </si>
  <si>
    <t xml:space="preserve">Each recorded once, under your name |</t>
  </si>
  <si>
    <t xml:space="preserve">RC-77</t>
  </si>
  <si>
    <t xml:space="preserve">Cash by chat</t>
  </si>
  <si>
    <t xml:space="preserve">"spent 12,000 on diesel at Total", "expense 5000 fuel", "cash in 20,000 till", "cash out 3,000 float"; yes to each; Yes twice on one</t>
  </si>
  <si>
    <t xml:space="preserve">Each recorded once; diesel under fuel</t>
  </si>
  <si>
    <t xml:space="preserve">RC-78</t>
  </si>
  <si>
    <t xml:space="preserve">Money overview</t>
  </si>
  <si>
    <t xml:space="preserve">Money &gt; Overview: Today, This week, This month, custom dates (try over 400 days)</t>
  </si>
  <si>
    <t xml:space="preserve">Money in and out, pending, invoices paid, leaks, by channel; over 400 days refused |</t>
  </si>
  <si>
    <t xml:space="preserve">RC-79</t>
  </si>
  <si>
    <t xml:space="preserve">Home money card</t>
  </si>
  <si>
    <t xml:space="preserve">Home after today's payments</t>
  </si>
  <si>
    <t xml:space="preserve">Money in, count, money out, waiting to be matched |</t>
  </si>
  <si>
    <t xml:space="preserve">RC-80</t>
  </si>
  <si>
    <t xml:space="preserve">Daily summary</t>
  </si>
  <si>
    <t xml:space="preserve">Next morning after 08:00 Lagos, owner on Telegram</t>
  </si>
  <si>
    <t xml:space="preserve">One message "Yesterday: ₦… in; ₦… out; … invoices paid" with the Money link. Nothing after a quiet day</t>
  </si>
  <si>
    <t xml:space="preserve">RC-81</t>
  </si>
  <si>
    <t xml:space="preserve">Settings &gt; Notifications: owner turns the summary off; an operator turns it on</t>
  </si>
  <si>
    <t xml:space="preserve">Owner gets none from next day; the operator starts getting it</t>
  </si>
  <si>
    <t xml:space="preserve">RC-82</t>
  </si>
  <si>
    <t xml:space="preserve">Monthly email</t>
  </si>
  <si>
    <t xml:space="preserve">On the 1st of the month after 09:00 Lagos</t>
  </si>
  <si>
    <t xml:space="preserve">Email "money in &lt;month&gt;" with totals and the Money link</t>
  </si>
  <si>
    <t xml:space="preserve">RC-83</t>
  </si>
  <si>
    <t xml:space="preserve">Export: money log</t>
  </si>
  <si>
    <t xml:space="preserve">Download the month's money log</t>
  </si>
  <si>
    <t xml:space="preserve">One line per movement; ins positive, outs negative; naira with 2 decimals; matched invoice numbers |</t>
  </si>
  <si>
    <t xml:space="preserve">RC-84</t>
  </si>
  <si>
    <t xml:space="preserve">Export: invoices</t>
  </si>
  <si>
    <t xml:space="preserve">Download invoices with and without "with customers' names" (owner, then viewer)</t>
  </si>
  <si>
    <t xml:space="preserve">Names only when ticked by someone allowed; phones and emails never |</t>
  </si>
  <si>
    <t xml:space="preserve">RC-85</t>
  </si>
  <si>
    <t xml:space="preserve">Export: journal</t>
  </si>
  <si>
    <t xml:space="preserve">Download the accounting journal</t>
  </si>
  <si>
    <t xml:space="preserve">Each movement balances (debits = credits) with sensible accounts |</t>
  </si>
  <si>
    <t xml:space="preserve">RC-86</t>
  </si>
  <si>
    <t xml:space="preserve">Export safety</t>
  </si>
  <si>
    <t xml:space="preserve">Statement line with description "=SUM(A1)"; export</t>
  </si>
  <si>
    <t xml:space="preserve">Shown as text with a leading apostrophe, never run</t>
  </si>
  <si>
    <t xml:space="preserve">RC-87</t>
  </si>
  <si>
    <t xml:space="preserve">Leak: unmatched</t>
  </si>
  <si>
    <t xml:space="preserve">Leave money in unmatched for over a day</t>
  </si>
  <si>
    <t xml:space="preserve">Leak "Money in with nothing to match" with a plain sentence. Cash never a leak</t>
  </si>
  <si>
    <t xml:space="preserve">RC-88</t>
  </si>
  <si>
    <t xml:space="preserve">Leak: overdue</t>
  </si>
  <si>
    <t xml:space="preserve">Overdue invoice, then part-pay it</t>
  </si>
  <si>
    <t xml:space="preserve">Leak for what is due; lowers with the part payment; closes when paid</t>
  </si>
  <si>
    <t xml:space="preserve">RC-89</t>
  </si>
  <si>
    <t xml:space="preserve">Closing leaks</t>
  </si>
  <si>
    <t xml:space="preserve">Assign a leak; close one Recovered (amount and note), one Written off, one Not a leak; try to edit a closed one</t>
  </si>
  <si>
    <t xml:space="preserve">Recovered total rises; closed leaks show how and by whom; cannot be changed</t>
  </si>
  <si>
    <t xml:space="preserve">RC-90</t>
  </si>
  <si>
    <t xml:space="preserve">Agreed fees</t>
  </si>
  <si>
    <t xml:space="preserve">Money &gt; Fees: Paystack 1.5% + ₦100, cap ₦2,000</t>
  </si>
  <si>
    <t xml:space="preserve">Saved; no false fee leak |</t>
  </si>
  <si>
    <t xml:space="preserve">RC-91</t>
  </si>
  <si>
    <t xml:space="preserve">Permissions</t>
  </si>
  <si>
    <t xml:space="preserve">Sign in as Viewer or Auditor</t>
  </si>
  <si>
    <t xml:space="preserve">Can see invoices, To match, Money and leaks. Cannot create, send, void, amend, match, undo, upload, enter cash or close leaks</t>
  </si>
  <si>
    <t xml:space="preserve">RC-92</t>
  </si>
  <si>
    <t xml:space="preserve">Viewer sends "invoice Ada 5000" or "spent 500 on fuel" on Telegram</t>
  </si>
  <si>
    <t xml:space="preserve">Refused</t>
  </si>
  <si>
    <t xml:space="preserve">RC-93</t>
  </si>
  <si>
    <t xml:space="preserve">Operator does the manage actions</t>
  </si>
  <si>
    <t xml:space="preserve">Allowed</t>
  </si>
  <si>
    <t xml:space="preserve">RC-94</t>
  </si>
  <si>
    <t xml:space="preserve">Someone with reveal shows a customer's name on an invoice</t>
  </si>
  <si>
    <t xml:space="preserve">Shown and recorded in the audit log |</t>
  </si>
  <si>
    <t xml:space="preserve">RC-95</t>
  </si>
  <si>
    <t xml:space="preserve">Paying people</t>
  </si>
  <si>
    <t xml:space="preserve">"Pay a supplier after approval": pick bank, type account number, check name, approve; run again for the same account</t>
  </si>
  <si>
    <t xml:space="preserve">First approval warns "First payment to this account"; payout in the money log; second has no warning; never pays twice</t>
  </si>
  <si>
    <t xml:space="preserve">Paystack test, second person</t>
  </si>
  <si>
    <t xml:space="preserve">SF-01</t>
  </si>
  <si>
    <t xml:space="preserve">Page editor access</t>
  </si>
  <si>
    <t xml:space="preserve">Sign in as owner, then as admin, then as a plain member, and open the Storefront page each time</t>
  </si>
  <si>
    <t xml:space="preserve">Owner and admin can open and edit it. A member without storefront.manage cannot</t>
  </si>
  <si>
    <t xml:space="preserve">SF-02</t>
  </si>
  <si>
    <t xml:space="preserve">Draft and address</t>
  </si>
  <si>
    <t xml:space="preserve">Fill in name, tagline, about, area/address, hours and an address such as ada-test-kitchen, then Save</t>
  </si>
  <si>
    <t xml:space="preserve">Saved as a draft. Nothing is visible at that address on the preview domain yet |</t>
  </si>
  <si>
    <t xml:space="preserve">SF-03</t>
  </si>
  <si>
    <t xml:space="preserve">Address rules</t>
  </si>
  <si>
    <t xml:space="preserve">Try the addresses "ab" (too short), a 31-character one, "my_shop!", "taskiem", "gtbank", "g7bank" and "paystack"</t>
  </si>
  <si>
    <t xml:space="preserve">Each is refused: 3 to 30 letters, digits and hyphens only; reserved names and look-alikes are not allowed |</t>
  </si>
  <si>
    <t xml:space="preserve">SF-04</t>
  </si>
  <si>
    <t xml:space="preserve">Refused at publishing</t>
  </si>
  <si>
    <t xml:space="preserve">Put a website link, an email address and a non-Nigerian phone number in the about text, then Publish</t>
  </si>
  <si>
    <t xml:space="preserve">The publish is refused with a plain reason. Fix them and it publishes</t>
  </si>
  <si>
    <t xml:space="preserve">SF-05</t>
  </si>
  <si>
    <t xml:space="preserve">Make my catalogue</t>
  </si>
  <si>
    <t xml:space="preserve">Press Make my catalogue, add 3 items with a name, a naira price and a photo, delete one, and never open Tables</t>
  </si>
  <si>
    <t xml:space="preserve">Items appear in the editor. No Tables page is needed. Prices are in naira |</t>
  </si>
  <si>
    <t xml:space="preserve">SF-06</t>
  </si>
  <si>
    <t xml:space="preserve">Use a table you already have</t>
  </si>
  <si>
    <t xml:space="preserve">Under "Use a table you already have", pick a table and match name, price, category, photo, available and sort. Then try to match a phone or email column</t>
  </si>
  <si>
    <t xml:space="preserve">Matching works. Personal columns are never offered, or are refused |</t>
  </si>
  <si>
    <t xml:space="preserve">SF-07</t>
  </si>
  <si>
    <t xml:space="preserve">Photos</t>
  </si>
  <si>
    <t xml:space="preserve">Upload a sideways phone photo (with location on) as a product photo and as the logo; then upload a file that is not an image renamed .jpg</t>
  </si>
  <si>
    <t xml:space="preserve">Shown upright. Location and camera details removed. The non-image is refused</t>
  </si>
  <si>
    <t xml:space="preserve">SF-08</t>
  </si>
  <si>
    <t xml:space="preserve">Look</t>
  </si>
  <si>
    <t xml:space="preserve">On Storefront &gt; Look, switch between Clean, Bold and Editorial, pick a very light colour, and leave the logo empty</t>
  </si>
  <si>
    <t xml:space="preserve">The preview shows the page, order form, booking page and form in that look before saving. With no logo, the initials show. Text stays readable. After Save, the live page changes within 30 seconds |</t>
  </si>
  <si>
    <t xml:space="preserve">SF-09</t>
  </si>
  <si>
    <t xml:space="preserve">Look reaches every page</t>
  </si>
  <si>
    <t xml:space="preserve">After changing the look, open the order form, a status page, a hosted form and a not-found address</t>
  </si>
  <si>
    <t xml:space="preserve">All of them use the same theme and colour |</t>
  </si>
  <si>
    <t xml:space="preserve">SF-10</t>
  </si>
  <si>
    <t xml:space="preserve">Close for now / Reopen</t>
  </si>
  <si>
    <t xml:space="preserve">Close the page with a message over 200 characters, then with one containing a link, then with a valid one, then press Reopen</t>
  </si>
  <si>
    <t xml:space="preserve">Over 200 characters and links are refused. A closed page shows the message and the business card but no catalogue. Reopen brings the catalogue back |</t>
  </si>
  <si>
    <t xml:space="preserve">SF-11</t>
  </si>
  <si>
    <t xml:space="preserve">Address change</t>
  </si>
  <si>
    <t xml:space="preserve">Change the address of a published page and publish again</t>
  </si>
  <si>
    <t xml:space="preserve">The new address serves the page. The old address stops serving |</t>
  </si>
  <si>
    <t xml:space="preserve">SF-12</t>
  </si>
  <si>
    <t xml:space="preserve">QR and printable card</t>
  </si>
  <si>
    <t xml:space="preserve">Open the QR code and print the card. Visit &lt;your page address&gt;/qr.png. Try qr.png on a draft-only page</t>
  </si>
  <si>
    <t xml:space="preserve">The QR scans to the page. The card shows name, QR, address and phone. A draft has no QR</t>
  </si>
  <si>
    <t xml:space="preserve">SF-13</t>
  </si>
  <si>
    <t xml:space="preserve">Public page content</t>
  </si>
  <si>
    <t xml:space="preserve">Open the published page in a private (incognito) window on your phone</t>
  </si>
  <si>
    <t xml:space="preserve">Card with Call, Chat on WhatsApp and directions link (no embedded map); "Open now" or "Closed now" correct for Lagos time; catalogue grouped by category with ₦ prices; unavailable items marked; safety line and Report this page in the footer</t>
  </si>
  <si>
    <t xml:space="preserve">SF-14</t>
  </si>
  <si>
    <t xml:space="preserve">No JavaScript</t>
  </si>
  <si>
    <t xml:space="preserve">Turn JavaScript off in the browser and browse, order and report</t>
  </si>
  <si>
    <t xml:space="preserve">Everything still works |</t>
  </si>
  <si>
    <t xml:space="preserve">SF-15</t>
  </si>
  <si>
    <t xml:space="preserve">No cookies</t>
  </si>
  <si>
    <t xml:space="preserve">In the browser's developer tools (Application &gt; Cookies), check the storefront, order form and hosted form</t>
  </si>
  <si>
    <t xml:space="preserve">No cookies are set on public pages</t>
  </si>
  <si>
    <t xml:space="preserve">Developer tools</t>
  </si>
  <si>
    <t xml:space="preserve">SF-16</t>
  </si>
  <si>
    <t xml:space="preserve">3G speed</t>
  </si>
  <si>
    <t xml:space="preserve">On a low-end Android phone, or Chrome set to "Slow 3G", open the page fresh</t>
  </si>
  <si>
    <t xml:space="preserve">Usable in about 3 seconds. Images load as you scroll</t>
  </si>
  <si>
    <t xml:space="preserve">SF-17</t>
  </si>
  <si>
    <t xml:space="preserve">Link preview card</t>
  </si>
  <si>
    <t xml:space="preserve">Paste the page link into a Telegram chat</t>
  </si>
  <si>
    <t xml:space="preserve">A preview card with name, tagline and logo</t>
  </si>
  <si>
    <t xml:space="preserve">SF-18</t>
  </si>
  <si>
    <t xml:space="preserve">Catalogue refresh</t>
  </si>
  <si>
    <t xml:space="preserve">Change a price in the table, then press Refresh. Separately, change a row and wait 15 minutes</t>
  </si>
  <si>
    <t xml:space="preserve">Refresh shows the new price at once. The 15-minute automatic refresh picks up the change |</t>
  </si>
  <si>
    <t xml:space="preserve">SF-19</t>
  </si>
  <si>
    <t xml:space="preserve">Not framed</t>
  </si>
  <si>
    <t xml:space="preserve">Ask a developer to put the page address inside a frame on another website</t>
  </si>
  <si>
    <t xml:space="preserve">Refused (framing only on proven websites)</t>
  </si>
  <si>
    <t xml:space="preserve">Developer</t>
  </si>
  <si>
    <t xml:space="preserve">SF-20</t>
  </si>
  <si>
    <t xml:space="preserve">Set up the order form</t>
  </si>
  <si>
    <t xml:space="preserve">Storefront &gt; Forms &gt; Order &gt; Set up. Choose pickup and delivery with a note, and payment after the owner accepts</t>
  </si>
  <si>
    <t xml:space="preserve">The default workflow is added and published. The page gains an order button |</t>
  </si>
  <si>
    <t xml:space="preserve">SF-21</t>
  </si>
  <si>
    <t xml:space="preserve">One-person business order</t>
  </si>
  <si>
    <t xml:space="preserve">In a business with only an owner, place an order as a customer; the owner accepts in Approvals</t>
  </si>
  <si>
    <t xml:space="preserve">The owner sees "You are the only person who can approve this" and can accept. Not stuck or declined after 24 hours</t>
  </si>
  <si>
    <t xml:space="preserve">SF-22</t>
  </si>
  <si>
    <t xml:space="preserve">Order: pay after accepting</t>
  </si>
  <si>
    <t xml:space="preserve">Customer orders 2 items with name, Nigerian phone and email. Owner accepts on Telegram. Customer pays with a Paystack test card</t>
  </si>
  <si>
    <t xml:space="preserve">Customer sees a status page with a reference (AK-XXXXXX). Owner gets accept or decline with items, total and collection. After accept, an SMS and email with a payment link. After paying, the customer is told it is paid</t>
  </si>
  <si>
    <t xml:space="preserve">Telegram, Paystack test, SMS, email</t>
  </si>
  <si>
    <t xml:space="preserve">SF-23</t>
  </si>
  <si>
    <t xml:space="preserve">Mark delivered</t>
  </si>
  <si>
    <t xml:space="preserve">After payment, the owner answers "mark delivered or collected"</t>
  </si>
  <si>
    <t xml:space="preserve">The order becomes completed</t>
  </si>
  <si>
    <t xml:space="preserve">SF-24</t>
  </si>
  <si>
    <t xml:space="preserve">Decline</t>
  </si>
  <si>
    <t xml:space="preserve">Owner declines an unpaid order</t>
  </si>
  <si>
    <t xml:space="preserve">The customer is texted. Status is declined</t>
  </si>
  <si>
    <t xml:space="preserve">SF-25</t>
  </si>
  <si>
    <t xml:space="preserve">No answer in a day</t>
  </si>
  <si>
    <t xml:space="preserve">Leave an owner request unanswered for 24 hours</t>
  </si>
  <si>
    <t xml:space="preserve">The order is declined automatically and the customer is texted</t>
  </si>
  <si>
    <t xml:space="preserve">SF-26</t>
  </si>
  <si>
    <t xml:space="preserve">Unpaid after accept</t>
  </si>
  <si>
    <t xml:space="preserve">Accept an order and do not pay the link for a day</t>
  </si>
  <si>
    <t xml:space="preserve">The order expires and the customer is told</t>
  </si>
  <si>
    <t xml:space="preserve">Paystack test, SMS</t>
  </si>
  <si>
    <t xml:space="preserve">SF-27</t>
  </si>
  <si>
    <t xml:space="preserve">Pay when ordering</t>
  </si>
  <si>
    <t xml:space="preserve">Verified business: set Payment = when ordering. Customer orders and pays</t>
  </si>
  <si>
    <t xml:space="preserve">Checkout opens at once. After paying, the customer returns to the status page; it shows paid within about 30 seconds; only then is the owner asked</t>
  </si>
  <si>
    <t xml:space="preserve">Paystack test, operator</t>
  </si>
  <si>
    <t xml:space="preserve">SF-28</t>
  </si>
  <si>
    <t xml:space="preserve">Unpaid at order expires</t>
  </si>
  <si>
    <t xml:space="preserve">Payment = when ordering. The customer abandons checkout</t>
  </si>
  <si>
    <t xml:space="preserve">After 30 minutes the order expires; no owner request starts</t>
  </si>
  <si>
    <t xml:space="preserve">SF-29</t>
  </si>
  <si>
    <t xml:space="preserve">Pay at order needs verification</t>
  </si>
  <si>
    <t xml:space="preserve">Unverified business tries to set Payment = when ordering</t>
  </si>
  <si>
    <t xml:space="preserve">Not allowed until the business is verified |</t>
  </si>
  <si>
    <t xml:space="preserve">SF-30</t>
  </si>
  <si>
    <t xml:space="preserve">No online payment</t>
  </si>
  <si>
    <t xml:space="preserve">Set "no online payment" and place an order</t>
  </si>
  <si>
    <t xml:space="preserve">No payment link is sent. The order goes on to accept and complete</t>
  </si>
  <si>
    <t xml:space="preserve">SF-31</t>
  </si>
  <si>
    <t xml:space="preserve">Order form checks</t>
  </si>
  <si>
    <t xml:space="preserve">On the order form try: a non-Nigerian phone, a card number in the note, submitting within 1 to 2 seconds of opening, then many quick submits</t>
  </si>
  <si>
    <t xml:space="preserve">Each is refused in plain words or slowed down |</t>
  </si>
  <si>
    <t xml:space="preserve">SF-32</t>
  </si>
  <si>
    <t xml:space="preserve">Price comes from the catalogue</t>
  </si>
  <si>
    <t xml:space="preserve">Ask a developer to change a price inside the submitted form</t>
  </si>
  <si>
    <t xml:space="preserve">The total uses the catalogue price, not the form's</t>
  </si>
  <si>
    <t xml:space="preserve">SF-33</t>
  </si>
  <si>
    <t xml:space="preserve">Stock shown and capped</t>
  </si>
  <si>
    <t xml:space="preserve">Map a stock column. Set one item's stock to 2 and another's to 0</t>
  </si>
  <si>
    <t xml:space="preserve">The 0-stock item shows sold out and cannot be ordered. The form offers no more than 2; an order for 3 is refused |</t>
  </si>
  <si>
    <t xml:space="preserve">SF-34</t>
  </si>
  <si>
    <t xml:space="preserve">Stock lowered on accept</t>
  </si>
  <si>
    <t xml:space="preserve">Two customers order the last unit each. The owner accepts both</t>
  </si>
  <si>
    <t xml:space="preserve">Stock never goes below 0. The second order's note says what was short</t>
  </si>
  <si>
    <t xml:space="preserve">SF-35</t>
  </si>
  <si>
    <t xml:space="preserve">Price check</t>
  </si>
  <si>
    <t xml:space="preserve">Customer orders; within seconds the owner raises the price in the table</t>
  </si>
  <si>
    <t xml:space="preserve">The order waits. The customer gets an SMS with the new total and a link to confirm or cancel. Confirm and it proceeds; left a day, it expires</t>
  </si>
  <si>
    <t xml:space="preserve">SF-36</t>
  </si>
  <si>
    <t xml:space="preserve">Price check: item gone</t>
  </si>
  <si>
    <t xml:space="preserve">As SF-35, but delete every ordered item from the table</t>
  </si>
  <si>
    <t xml:space="preserve">The order is cancelled and the customer told</t>
  </si>
  <si>
    <t xml:space="preserve">SF-37</t>
  </si>
  <si>
    <t xml:space="preserve">Orders list</t>
  </si>
  <si>
    <t xml:space="preserve">Open Storefront &gt; Orders as owner, then as a member without the reveal permission</t>
  </si>
  <si>
    <t xml:space="preserve">Newest first, customer details masked. Show details works only with the permission (and is in the audit log)</t>
  </si>
  <si>
    <t xml:space="preserve">SF-38</t>
  </si>
  <si>
    <t xml:space="preserve">Questions and call-backs</t>
  </si>
  <si>
    <t xml:space="preserve">Set up both forms. As a customer, send a question and a call-back request</t>
  </si>
  <si>
    <t xml:space="preserve">Customer gets an acknowledgement SMS. Owner is asked to mark it answered or called back</t>
  </si>
  <si>
    <t xml:space="preserve">SF-39</t>
  </si>
  <si>
    <t xml:space="preserve">Customer SMS</t>
  </si>
  <si>
    <t xml:space="preserve">Read the customer SMS messages received</t>
  </si>
  <si>
    <t xml:space="preserve">Each starts with the business name and is in the business's language</t>
  </si>
  <si>
    <t xml:space="preserve">SF-40</t>
  </si>
  <si>
    <t xml:space="preserve">SMS flood limit</t>
  </si>
  <si>
    <t xml:space="preserve">From one phone number, place more than 5 orders in an hour</t>
  </si>
  <si>
    <t xml:space="preserve">Texts to that number stop after 5 an hour (20 a day); the orders are still recorded</t>
  </si>
  <si>
    <t xml:space="preserve">SF-41</t>
  </si>
  <si>
    <t xml:space="preserve">Money matched</t>
  </si>
  <si>
    <t xml:space="preserve">Open a paid order's page</t>
  </si>
  <si>
    <t xml:space="preserve">Under "Money matched", the Paystack payment shows as matched</t>
  </si>
  <si>
    <t xml:space="preserve">SF-42</t>
  </si>
  <si>
    <t xml:space="preserve">Refund through the workflow</t>
  </si>
  <si>
    <t xml:space="preserve">Pay-at-order order: owner declines, then approves "Refund the customer?"</t>
  </si>
  <si>
    <t xml:space="preserve">Status refund due, then refunded. Customer told money arrives in 5 to 10 working days. Refund shows in Paystack test</t>
  </si>
  <si>
    <t xml:space="preserve">Paystack test, Telegram, SMS</t>
  </si>
  <si>
    <t xml:space="preserve">SF-43</t>
  </si>
  <si>
    <t xml:space="preserve">Refund later in chat</t>
  </si>
  <si>
    <t xml:space="preserve">Decline a paid order, reject the refund prompt, then send "refund AK-XXXXXX" and reply yes</t>
  </si>
  <si>
    <t xml:space="preserve">Refunded. A second refund of the same order is refused</t>
  </si>
  <si>
    <t xml:space="preserve">Telegram, Paystack test</t>
  </si>
  <si>
    <t xml:space="preserve">SF-44</t>
  </si>
  <si>
    <t xml:space="preserve">Refund in the web app</t>
  </si>
  <si>
    <t xml:space="preserve">On a refund-due order press Refund through Paystack</t>
  </si>
  <si>
    <t xml:space="preserve">Refunded; if Paystack refuses, it stays refund due with Paystack's reason</t>
  </si>
  <si>
    <t xml:space="preserve">SF-45</t>
  </si>
  <si>
    <t xml:space="preserve">Bookings set-up</t>
  </si>
  <si>
    <t xml:space="preserve">Storefront &gt; Bookings: services of 30 and 60 minutes, one with no price, one class with room for 3, a 10-minute buffer, a lunch break, a day off, 30 days ahead, 2 hours' notice. Set up the booking form</t>
  </si>
  <si>
    <t xml:space="preserve">Services listed; "Price on the day" where no price. Free times match hours, length and buffer. None on the day off or within 2 hours |</t>
  </si>
  <si>
    <t xml:space="preserve">SF-46</t>
  </si>
  <si>
    <t xml:space="preserve">Book a time</t>
  </si>
  <si>
    <t xml:space="preserve">Customer books a service. Owner accepts on Telegram</t>
  </si>
  <si>
    <t xml:space="preserve">Customer gets an SMS that it is booked, with a link to move or cancel</t>
  </si>
  <si>
    <t xml:space="preserve">SF-47</t>
  </si>
  <si>
    <t xml:space="preserve">No double booking</t>
  </si>
  <si>
    <t xml:space="preserve">Two people on two phones pick the same single slot and press send together</t>
  </si>
  <si>
    <t xml:space="preserve">Only one gets it; the other is told it is taken. A class for 3 takes 3, then closes</t>
  </si>
  <si>
    <t xml:space="preserve">Second person, phone</t>
  </si>
  <si>
    <t xml:space="preserve">SF-48</t>
  </si>
  <si>
    <t xml:space="preserve">Customer moves or cancels</t>
  </si>
  <si>
    <t xml:space="preserve">From the link, move a booking. Then try to cancel inside the 2-hour cut-off</t>
  </si>
  <si>
    <t xml:space="preserve">The move works and the owner is told. The late cancel is refused</t>
  </si>
  <si>
    <t xml:space="preserve">SMS, Telegram</t>
  </si>
  <si>
    <t xml:space="preserve">SF-49</t>
  </si>
  <si>
    <t xml:space="preserve">Owner booking commands</t>
  </si>
  <si>
    <t xml:space="preserve">Send bookings, today, "move AD-XXXXXX to Sat 11:00", "booking AD-XXXXXX cancel", "off 25 Dec"; confirm each with yes</t>
  </si>
  <si>
    <t xml:space="preserve">Each shown, then applied on yes. The customer is told. The day off removes free times</t>
  </si>
  <si>
    <t xml:space="preserve">SF-50</t>
  </si>
  <si>
    <t xml:space="preserve">Reminders and attendance</t>
  </si>
  <si>
    <t xml:space="preserve">Book a slot just over a day ahead and leave it</t>
  </si>
  <si>
    <t xml:space="preserve">Reminders a day before and 2 hours before. Afterwards the owner is asked if they came. The owner's 07:00 day list arrives</t>
  </si>
  <si>
    <t xml:space="preserve">SF-51</t>
  </si>
  <si>
    <t xml:space="preserve">Paid booking cancelled</t>
  </si>
  <si>
    <t xml:space="preserve">Payment when booking (deposit). Customer cancels: once by default, once with Keep the deposit</t>
  </si>
  <si>
    <t xml:space="preserve">Default: refund due. Keep the deposit: no refund</t>
  </si>
  <si>
    <t xml:space="preserve">SF-52</t>
  </si>
  <si>
    <t xml:space="preserve">make my page</t>
  </si>
  <si>
    <t xml:space="preserve">New business with no page: send "make my page", answer the questions (skip one, but not the name), send a photo, answer yes</t>
  </si>
  <si>
    <t xml:space="preserve">Draft at a free address; a products table made; on yes: link, QR image and a status text, then "Turn on orders?"</t>
  </si>
  <si>
    <t xml:space="preserve">SF-53</t>
  </si>
  <si>
    <t xml:space="preserve">turn on orders</t>
  </si>
  <si>
    <t xml:space="preserve">Reply yes to "Turn on orders?" (or send "turn on orders")</t>
  </si>
  <si>
    <t xml:space="preserve">Order workflow published, form on, page republished. With no Paystack: no online payment, plus a link to connect it</t>
  </si>
  <si>
    <t xml:space="preserve">SF-54</t>
  </si>
  <si>
    <t xml:space="preserve">my page</t>
  </si>
  <si>
    <t xml:space="preserve">Send "my page"</t>
  </si>
  <si>
    <t xml:space="preserve">Link, status (draft, published or closed) and today's orders</t>
  </si>
  <si>
    <t xml:space="preserve">SF-55</t>
  </si>
  <si>
    <t xml:space="preserve">add product</t>
  </si>
  <si>
    <t xml:space="preserve">Send "add product Jollof rice 2k", a photo captioned "Fried rice ₦2,500", and "add product Jollof rice 3000"</t>
  </si>
  <si>
    <t xml:space="preserve">First two added on yes with prices read correctly. The duplicate is refused with a hint to use price</t>
  </si>
  <si>
    <t xml:space="preserve">SF-56</t>
  </si>
  <si>
    <t xml:space="preserve">Item commands</t>
  </si>
  <si>
    <t xml:space="preserve">"price jollof 2500", "hide jollof", "show jollof", "stock jollof 5", and a word matching 2 items</t>
  </si>
  <si>
    <t xml:space="preserve">Old and new shown, applied on yes. Two matches give a numbered list. no or cancel drops it</t>
  </si>
  <si>
    <t xml:space="preserve">SF-57</t>
  </si>
  <si>
    <t xml:space="preserve">hours</t>
  </si>
  <si>
    <t xml:space="preserve">"hours mon-sat 8-6, closed sunday", then "hours open 24 hours"</t>
  </si>
  <si>
    <t xml:space="preserve">Saved and republished. 8-6 reads as 08:00 to 18:00</t>
  </si>
  <si>
    <t xml:space="preserve">SF-58</t>
  </si>
  <si>
    <t xml:space="preserve">add service</t>
  </si>
  <si>
    <t xml:space="preserve">"add service Haircut 45min 2000"</t>
  </si>
  <si>
    <t xml:space="preserve">Services table made if needed; service added; page republished</t>
  </si>
  <si>
    <t xml:space="preserve">SF-59</t>
  </si>
  <si>
    <t xml:space="preserve">close shop</t>
  </si>
  <si>
    <t xml:space="preserve">"close shop back on monday", "open shop", then "close shop today"</t>
  </si>
  <si>
    <t xml:space="preserve">Closes with the message, reopens. "today" reopens at 06:00 Lagos the next day</t>
  </si>
  <si>
    <t xml:space="preserve">SF-60</t>
  </si>
  <si>
    <t xml:space="preserve">orders by chat</t>
  </si>
  <si>
    <t xml:space="preserve">"orders", "order AK-XXXXXX", "order AK-XXXXXX ready", "order AK-XXXXXX collected"</t>
  </si>
  <si>
    <t xml:space="preserve">Ten newest, masked. ready texts the customer; collected completes the order</t>
  </si>
  <si>
    <t xml:space="preserve">SF-61</t>
  </si>
  <si>
    <t xml:space="preserve">qr and publish</t>
  </si>
  <si>
    <t xml:space="preserve">"qr", then edit in the web app and send "publish", then yes</t>
  </si>
  <si>
    <t xml:space="preserve">QR image and address. The draft goes live</t>
  </si>
  <si>
    <t xml:space="preserve">SF-62</t>
  </si>
  <si>
    <t xml:space="preserve">Chat permissions</t>
  </si>
  <si>
    <t xml:space="preserve">A member without storefront rights sends "close shop"</t>
  </si>
  <si>
    <t xml:space="preserve">SF-63</t>
  </si>
  <si>
    <t xml:space="preserve">Phone confirmed first</t>
  </si>
  <si>
    <t xml:space="preserve">A new business with no linked Telegram tries to Publish</t>
  </si>
  <si>
    <t xml:space="preserve">Refused until Telegram (or WhatsApp) is linked</t>
  </si>
  <si>
    <t xml:space="preserve">SF-64</t>
  </si>
  <si>
    <t xml:space="preserve">First publish held</t>
  </si>
  <si>
    <t xml:space="preserve">Unverified business publishes for the first time; operator approves in the console. Repeat with reject and a note</t>
  </si>
  <si>
    <t xml:space="preserve">Waits for review, not shown. Approve: live and owner told. Reject: back to draft, owner told</t>
  </si>
  <si>
    <t xml:space="preserve">Operator, Telegram</t>
  </si>
  <si>
    <t xml:space="preserve">SF-65</t>
  </si>
  <si>
    <t xml:space="preserve">Blocked words and prices</t>
  </si>
  <si>
    <t xml:space="preserve">Publish a product named "d0uble your money", one with "tramadol", a ₦0 item and one above ₦10,000,000</t>
  </si>
  <si>
    <t xml:space="preserve">Blocked word refused; flagged words and odd prices wait for review</t>
  </si>
  <si>
    <t xml:space="preserve">Operator</t>
  </si>
  <si>
    <t xml:space="preserve">SF-66</t>
  </si>
  <si>
    <t xml:space="preserve">Report this page</t>
  </si>
  <si>
    <t xml:space="preserve">Report the page with JavaScript off. Report 4 times in a day from one connection</t>
  </si>
  <si>
    <t xml:space="preserve">Report accepted. The 4th from the same connection is refused (3 a day) |</t>
  </si>
  <si>
    <t xml:space="preserve">SF-67</t>
  </si>
  <si>
    <t xml:space="preserve">Suspended by reports</t>
  </si>
  <si>
    <t xml:space="preserve">Three different people (different phones and networks) report one page</t>
  </si>
  <si>
    <t xml:space="preserve">Within minutes: "This page is unavailable", forms take nothing, owner told on Telegram</t>
  </si>
  <si>
    <t xml:space="preserve">3 people, Telegram</t>
  </si>
  <si>
    <t xml:space="preserve">SF-68</t>
  </si>
  <si>
    <t xml:space="preserve">Appeal and restore</t>
  </si>
  <si>
    <t xml:space="preserve">Owner replies "APPEAL I sell food only"; tries to publish, close or reopen while suspended</t>
  </si>
  <si>
    <t xml:space="preserve">Those are refused. The appeal is in the operator queue. Approve restores the page</t>
  </si>
  <si>
    <t xml:space="preserve">Telegram, operator</t>
  </si>
  <si>
    <t xml:space="preserve">SF-69</t>
  </si>
  <si>
    <t xml:space="preserve">Business verification</t>
  </si>
  <si>
    <t xml:space="preserve">Ask to verify the business (legal name, address, CAC number)</t>
  </si>
  <si>
    <t xml:space="preserve">Shows waiting. Operator approves: the Verified badge appears and pay-at-order unlocks</t>
  </si>
  <si>
    <t xml:space="preserve">SF-70</t>
  </si>
  <si>
    <t xml:space="preserve">Paused orders</t>
  </si>
  <si>
    <t xml:space="preserve">Unverified business: 50 orders and bookings in one Lagos day (or the operator lowers the limit)</t>
  </si>
  <si>
    <t xml:space="preserve">Forms say "not taking orders online right now". Owner told once. Lifts next day or on verification</t>
  </si>
  <si>
    <t xml:space="preserve">SF-71</t>
  </si>
  <si>
    <t xml:space="preserve">Field agent sign-up</t>
  </si>
  <si>
    <t xml:space="preserve">Operator registers an agent. Agent signs in on a phone, New business, owner's phone; owner sends "AGREE &lt;code&gt;" to the bot and taps Share my number. Try 5 wrong codes and a code over 30 minutes old</t>
  </si>
  <si>
    <t xml:space="preserve">Works only from the owner's own number. 5 wrong codes lock it; 30 minutes expires it; New code makes a fresh one. Agent edits under a banner with time left. Record visit marks agent onboarded. Publishing ends the session</t>
  </si>
  <si>
    <t xml:space="preserve">Operator, Telegram, second person, phone</t>
  </si>
  <si>
    <t xml:space="preserve">SF-72</t>
  </si>
  <si>
    <t xml:space="preserve">Agent limits and STOP AGENT</t>
  </si>
  <si>
    <t xml:space="preserve">During a session the agent tries to open orders or members. Owner sends "STOP AGENT". Then Members &gt; Invite an agent back for 1 hour</t>
  </si>
  <si>
    <t xml:space="preserve">Orders and members refused. STOP AGENT ends the session at once. The invite works at once and ends after an hour</t>
  </si>
  <si>
    <t xml:space="preserve">SF-73</t>
  </si>
  <si>
    <t xml:space="preserve">Own domain (if a real domain is available)</t>
  </si>
  <si>
    <t xml:space="preserve">Storefront &gt; Your own domain: add a domain you control; follow the registrar guide; Check now before and after adding the records. Also try an IP address and "com.ng"</t>
  </si>
  <si>
    <t xml:space="preserve">Check now names what is missing in plain words. Once verified the page serves there. Bad entries refused</t>
  </si>
  <si>
    <t xml:space="preserve">Real domain</t>
  </si>
  <si>
    <t xml:space="preserve">SF-74</t>
  </si>
  <si>
    <t xml:space="preserve">On your website (if available)</t>
  </si>
  <si>
    <t xml:space="preserve">Add a website, Send to my web designer (an email), then Check now</t>
  </si>
  <si>
    <t xml:space="preserve">The designer gets the code by email. After proof, the page shows inside that site only</t>
  </si>
  <si>
    <t xml:space="preserve">Real domain, email</t>
  </si>
  <si>
    <t xml:space="preserve">SF-75</t>
  </si>
  <si>
    <t xml:space="preserve">Hosted form with phone code</t>
  </si>
  <si>
    <t xml:space="preserve">Publish a public form that checks the phone. Enter 6 wrong codes; try a code over 10 minutes old; double-tap submit</t>
  </si>
  <si>
    <t xml:space="preserve">Five tries; 10-minute expiry; a double tap gives one reference. Report this form in the footer</t>
  </si>
  <si>
    <t xml:space="preserve">SF-76</t>
  </si>
  <si>
    <t xml:space="preserve">Get updates on Telegram</t>
  </si>
  <si>
    <t xml:space="preserve">On a form's thank-you page tap Get updates on Telegram, Start, share the number. Later send STOP, then START</t>
  </si>
  <si>
    <t xml:space="preserve">Later messages arrive in Telegram. After STOP they come by SMS. START restores Telegram</t>
  </si>
  <si>
    <t xml:space="preserve">SC-01</t>
  </si>
  <si>
    <t xml:space="preserve">Turning it on</t>
  </si>
  <si>
    <t xml:space="preserve">As Owner A, turn Schools on under Secrets &amp; settings (or Schools &gt; Settings)</t>
  </si>
  <si>
    <t xml:space="preserve">Schools appears in the menu. A Bursar role is offered or added. The change is in the audit log |</t>
  </si>
  <si>
    <t xml:space="preserve">SC-02</t>
  </si>
  <si>
    <t xml:space="preserve">Turning it off</t>
  </si>
  <si>
    <t xml:space="preserve">With classes, students and invoices in place, turn Schools off; open a Schools page by its address; turn it back on</t>
  </si>
  <si>
    <t xml:space="preserve">Off: the menu item is gone and pages say the area is off. On again: everything is back as before. Both changes audited |</t>
  </si>
  <si>
    <t xml:space="preserve">SC-03</t>
  </si>
  <si>
    <t xml:space="preserve">Only an owner</t>
  </si>
  <si>
    <t xml:space="preserve">As an admin who is not an owner, try to turn Schools on or off</t>
  </si>
  <si>
    <t xml:space="preserve">Not allowed</t>
  </si>
  <si>
    <t xml:space="preserve">Second person (admin)</t>
  </si>
  <si>
    <t xml:space="preserve">SC-04</t>
  </si>
  <si>
    <t xml:space="preserve">Bursar role</t>
  </si>
  <si>
    <t xml:space="preserve">Give someone Bursar under Members &amp; keys. As the Bursar: add a student, post cash, send a reminder. Then try approvals, Clear by override, deciding a payment plan, and the thresholds in Schools &gt; Settings</t>
  </si>
  <si>
    <t xml:space="preserve">The first three work. The approval actions and the settings are not available</t>
  </si>
  <si>
    <t xml:space="preserve">Second person (Bursar)</t>
  </si>
  <si>
    <t xml:space="preserve">SC-05</t>
  </si>
  <si>
    <t xml:space="preserve">Viewer</t>
  </si>
  <si>
    <t xml:space="preserve">Sign in as a Viewer or Auditor</t>
  </si>
  <si>
    <t xml:space="preserve">Students, Debtors, Clearance and Receipts can be seen. Add a student, Post a payment and Invoice the term are not available</t>
  </si>
  <si>
    <t xml:space="preserve">Second person (Viewer)</t>
  </si>
  <si>
    <t xml:space="preserve">SC-06</t>
  </si>
  <si>
    <t xml:space="preserve">Gate role</t>
  </si>
  <si>
    <t xml:space="preserve">Owner gives someone the Gate role. They sign in on a phone and type other addresses such as /invoices, /settings and /schools/students</t>
  </si>
  <si>
    <t xml:space="preserve">They land on the gate screen with no menu. Every other page is refused. Only signing out and the gate screen work</t>
  </si>
  <si>
    <t xml:space="preserve">Phone, second person (Gate)</t>
  </si>
  <si>
    <t xml:space="preserve">SC-07</t>
  </si>
  <si>
    <t xml:space="preserve">As an admin who is not an owner, try to give someone the Gate role</t>
  </si>
  <si>
    <t xml:space="preserve">Refused: only an owner can</t>
  </si>
  <si>
    <t xml:space="preserve">SC-08</t>
  </si>
  <si>
    <t xml:space="preserve">Open Students, Families, Debtors and Receipts without the reveal permission. Then with it press Show names (and Show personal details). Check the audit log</t>
  </si>
  <si>
    <t xml:space="preserve">Names, phones and dates of birth masked until shown. Each Show is in the audit log. Without the permission the buttons are absent</t>
  </si>
  <si>
    <t xml:space="preserve">SC-09</t>
  </si>
  <si>
    <t xml:space="preserve">Search</t>
  </si>
  <si>
    <t xml:space="preserve">Search students by part of a name while names are masked, then by admission number</t>
  </si>
  <si>
    <t xml:space="preserve">A name search needs names shown. Admission number search always works |</t>
  </si>
  <si>
    <t xml:space="preserve">SC-10</t>
  </si>
  <si>
    <t xml:space="preserve">Classes</t>
  </si>
  <si>
    <t xml:space="preserve">Add JSS 1 A, JSS 1 B, JSS 2 A, JSS 3 A and Nursery A with their order. Then add JSS 1 A again</t>
  </si>
  <si>
    <t xml:space="preserve">The duplicate is refused. Arms of one class share its order |</t>
  </si>
  <si>
    <t xml:space="preserve">SC-11</t>
  </si>
  <si>
    <t xml:space="preserve">Remove a class no student was ever in; then try to remove one that has history</t>
  </si>
  <si>
    <t xml:space="preserve">The first is removed. The second is refused |</t>
  </si>
  <si>
    <t xml:space="preserve">SC-12</t>
  </si>
  <si>
    <t xml:space="preserve">Add session 2026/2027, then add it again</t>
  </si>
  <si>
    <t xml:space="preserve">The second is refused |</t>
  </si>
  <si>
    <t xml:space="preserve">SC-13</t>
  </si>
  <si>
    <t xml:space="preserve">Terms</t>
  </si>
  <si>
    <t xml:space="preserve">Add First, Second and Third term with start, end and fees-due dates. Edit and remove a term that has not started</t>
  </si>
  <si>
    <t xml:space="preserve">Both work |</t>
  </si>
  <si>
    <t xml:space="preserve">SC-14</t>
  </si>
  <si>
    <t xml:space="preserve">Start a term</t>
  </si>
  <si>
    <t xml:space="preserve">On First term press Start</t>
  </si>
  <si>
    <t xml:space="preserve">It becomes current; every active student is enrolled in their class; audited |</t>
  </si>
  <si>
    <t xml:space="preserve">SC-15</t>
  </si>
  <si>
    <t xml:space="preserve">Press Start on the same term again</t>
  </si>
  <si>
    <t xml:space="preserve">Nobody is enrolled twice |</t>
  </si>
  <si>
    <t xml:space="preserve">SC-16</t>
  </si>
  <si>
    <t xml:space="preserve">Term rules</t>
  </si>
  <si>
    <t xml:space="preserve">Start Second term; try to change First term, its enrolments and its fees</t>
  </si>
  <si>
    <t xml:space="preserve">First term is past and read-only. Only one term is current |</t>
  </si>
  <si>
    <t xml:space="preserve">SC-17</t>
  </si>
  <si>
    <t xml:space="preserve">Enrolment</t>
  </si>
  <si>
    <t xml:space="preserve">While a term runs, add a student; move one from JSS 1 A to JSS 1 B; open the moved student's page</t>
  </si>
  <si>
    <t xml:space="preserve">New student enrolled at once. The move carries the enrolment. Class history shows; past terms keep the old class |</t>
  </si>
  <si>
    <t xml:space="preserve">SC-18</t>
  </si>
  <si>
    <t xml:space="preserve">Import students</t>
  </si>
  <si>
    <t xml:space="preserve">Students &gt; Import students: a good CSV with other headings (student, adm no, parent, parent phone, relation, dob) and dates like 21/03/2015. Check the file</t>
  </si>
  <si>
    <t xml:space="preserve">A preview shows students added and updated, and families grouped by guardian phone. Nothing saved until Save</t>
  </si>
  <si>
    <t xml:space="preserve">SC-19</t>
  </si>
  <si>
    <t xml:space="preserve">Import: families</t>
  </si>
  <si>
    <t xml:space="preserve">In the CSV put two siblings with the same guardian phone, and one student on two lines with two guardians</t>
  </si>
  <si>
    <t xml:space="preserve">Siblings become one family. The student on two lines has two guardians</t>
  </si>
  <si>
    <t xml:space="preserve">SC-20</t>
  </si>
  <si>
    <t xml:space="preserve">Import: formats</t>
  </si>
  <si>
    <t xml:space="preserve">Write classes as "jss-1 a" or "JSS1A"; phones as 08031234567, +2348031234567 and a +44 number</t>
  </si>
  <si>
    <t xml:space="preserve">All accepted</t>
  </si>
  <si>
    <t xml:space="preserve">SC-21</t>
  </si>
  <si>
    <t xml:space="preserve">Import: bad rows</t>
  </si>
  <si>
    <t xml:space="preserve">A 20-line file with one bad line of each kind: no name, no phone, a phone that is not a number, an unknown class, one admission number with two names, one phone for two guardians</t>
  </si>
  <si>
    <t xml:space="preserve">Nothing saved. Each bad line listed with its reason. Fixed, it saves</t>
  </si>
  <si>
    <t xml:space="preserve">SC-22</t>
  </si>
  <si>
    <t xml:space="preserve">Import: again</t>
  </si>
  <si>
    <t xml:space="preserve">Re-import the same file with one name and one class changed</t>
  </si>
  <si>
    <t xml:space="preserve">Students updated by admission number; nobody added twice</t>
  </si>
  <si>
    <t xml:space="preserve">SC-23</t>
  </si>
  <si>
    <t xml:space="preserve">Admission number</t>
  </si>
  <si>
    <t xml:space="preserve">Add "gca/001" when "GCA/001" exists</t>
  </si>
  <si>
    <t xml:space="preserve">Refused (case does not count) |</t>
  </si>
  <si>
    <t xml:space="preserve">SC-24</t>
  </si>
  <si>
    <t xml:space="preserve">One family per phone</t>
  </si>
  <si>
    <t xml:space="preserve">Add a guardian to family B with a phone already in family A</t>
  </si>
  <si>
    <t xml:space="preserve">SC-25</t>
  </si>
  <si>
    <t xml:space="preserve">Add a student</t>
  </si>
  <si>
    <t xml:space="preserve">Students &gt; Add a student with name, admission number, class, optional date of birth and a new guardian</t>
  </si>
  <si>
    <t xml:space="preserve">Saved with a new family; audited |</t>
  </si>
  <si>
    <t xml:space="preserve">SC-26</t>
  </si>
  <si>
    <t xml:space="preserve">Promotion</t>
  </si>
  <si>
    <t xml:space="preserve">Classes and terms &gt; Promotion: mark one repeats, one leaves, one graduates early; promote</t>
  </si>
  <si>
    <t xml:space="preserve">Others move up a class; the last class graduates; the leaver is withdrawn; counts update as you choose |</t>
  </si>
  <si>
    <t xml:space="preserve">SC-27</t>
  </si>
  <si>
    <t xml:space="preserve">Promote the same session again; try after the next session's first term has started</t>
  </si>
  <si>
    <t xml:space="preserve">Both refused |</t>
  </si>
  <si>
    <t xml:space="preserve">SC-28</t>
  </si>
  <si>
    <t xml:space="preserve">Fees</t>
  </si>
  <si>
    <t xml:space="preserve">Term fees for JSS 1 A: Tuition (required), PTA levy (required), Transport (optional), WAEC (required, collected for WAEC). Add Tuition again</t>
  </si>
  <si>
    <t xml:space="preserve">The duplicate is refused |</t>
  </si>
  <si>
    <t xml:space="preserve">SC-29</t>
  </si>
  <si>
    <t xml:space="preserve">Copy from the previous term, then from another class; edit an amount</t>
  </si>
  <si>
    <t xml:space="preserve">Fills in one step; editable |</t>
  </si>
  <si>
    <t xml:space="preserve">SC-30</t>
  </si>
  <si>
    <t xml:space="preserve">Optional items</t>
  </si>
  <si>
    <t xml:space="preserve">On a student's page tick Transport</t>
  </si>
  <si>
    <t xml:space="preserve">The term fees include it; the draft invoice is rebuilt |</t>
  </si>
  <si>
    <t xml:space="preserve">SC-31</t>
  </si>
  <si>
    <t xml:space="preserve">Discounts</t>
  </si>
  <si>
    <t xml:space="preserve">A 10% Sibling discount with a reason; a Scholarship larger than the fees</t>
  </si>
  <si>
    <t xml:space="preserve">Discount shows as its own negative line. Nothing comes off WAEC. Total never below zero |</t>
  </si>
  <si>
    <t xml:space="preserve">SC-32</t>
  </si>
  <si>
    <t xml:space="preserve">End a discount after an invoice was sent</t>
  </si>
  <si>
    <t xml:space="preserve">Next invoices drop it; the sent one keeps it |</t>
  </si>
  <si>
    <t xml:space="preserve">SC-33</t>
  </si>
  <si>
    <t xml:space="preserve">Discount threshold</t>
  </si>
  <si>
    <t xml:space="preserve">Discount threshold ₦20,000; as the Bursar add a ₦25,000 discount</t>
  </si>
  <si>
    <t xml:space="preserve">Recorded as a request, shown in Approvals. Approved by Owner B, it stands. Declined with a reason, nothing changes</t>
  </si>
  <si>
    <t xml:space="preserve">SC-34</t>
  </si>
  <si>
    <t xml:space="preserve">Fee changes</t>
  </si>
  <si>
    <t xml:space="preserve">After invoicing, change Tuition</t>
  </si>
  <si>
    <t xml:space="preserve">Drafts rebuilt. A sent invoice changes only by an amendment with a reason |</t>
  </si>
  <si>
    <t xml:space="preserve">SC-35</t>
  </si>
  <si>
    <t xml:space="preserve">Invoice the term</t>
  </si>
  <si>
    <t xml:space="preserve">Current term's Invoices &gt; Invoice the term; read the plan</t>
  </si>
  <si>
    <t xml:space="preserve">Counts and totals by class, money collected for others, already invoiced, and who is left out and why. Nothing made yet |</t>
  </si>
  <si>
    <t xml:space="preserve">SC-36</t>
  </si>
  <si>
    <t xml:space="preserve">Keep them as drafts; check; Send the drafts</t>
  </si>
  <si>
    <t xml:space="preserve">Guardians get an SMS and an email with a family page link</t>
  </si>
  <si>
    <t xml:space="preserve">SC-37</t>
  </si>
  <si>
    <t xml:space="preserve">On another class choose Send them now</t>
  </si>
  <si>
    <t xml:space="preserve">Each guardian gets SMS and email at once; earlier family credit counts first</t>
  </si>
  <si>
    <t xml:space="preserve">SC-38</t>
  </si>
  <si>
    <t xml:space="preserve">Add a new student; Invoice the term again</t>
  </si>
  <si>
    <t xml:space="preserve">Only the new student is invoiced |</t>
  </si>
  <si>
    <t xml:space="preserve">SC-39</t>
  </si>
  <si>
    <t xml:space="preserve">Show the plan; in another tab add a student or change a fee; then confirm</t>
  </si>
  <si>
    <t xml:space="preserve">Confirmation refused: check again |</t>
  </si>
  <si>
    <t xml:space="preserve">SC-40</t>
  </si>
  <si>
    <t xml:space="preserve">Invoice content</t>
  </si>
  <si>
    <t xml:space="preserve">Open one invoice and the term's invoice list</t>
  </si>
  <si>
    <t xml:space="preserve">Customer is the first guardian; note has admission number, class and term but no name; due date is the fees-due date; WAEC reads "Collected on behalf of WAEC"; list filters by class and status |</t>
  </si>
  <si>
    <t xml:space="preserve">SC-41</t>
  </si>
  <si>
    <t xml:space="preserve">Try to invoice a term that is not current</t>
  </si>
  <si>
    <t xml:space="preserve">Not possible |</t>
  </si>
  <si>
    <t xml:space="preserve">SC-42</t>
  </si>
  <si>
    <t xml:space="preserve">Account numbers: connection</t>
  </si>
  <si>
    <t xml:space="preserve">Schools &gt; Settings &gt; Students' account numbers: pick the Paystack test connection</t>
  </si>
  <si>
    <t xml:space="preserve">Only connections that can issue are listed, with plain needs and fees. Choice audited</t>
  </si>
  <si>
    <t xml:space="preserve">SC-43</t>
  </si>
  <si>
    <t xml:space="preserve">Who gets one</t>
  </si>
  <si>
    <t xml:space="preserve">Schools &gt; Account numbers &gt; Check who gets one</t>
  </si>
  <si>
    <t xml:space="preserve">Shows already issued, this batch (max 500), who cannot be issued yet and why. Nothing issued yet</t>
  </si>
  <si>
    <t xml:space="preserve">Paystack test, email</t>
  </si>
  <si>
    <t xml:space="preserve">SC-44</t>
  </si>
  <si>
    <t xml:space="preserve">Issue</t>
  </si>
  <si>
    <t xml:space="preserve">Press Issue and watch</t>
  </si>
  <si>
    <t xml:space="preserve">Issued and not issued with reasons. A student's page shows the number with Copy, the bank and the masked name</t>
  </si>
  <si>
    <t xml:space="preserve">SC-45</t>
  </si>
  <si>
    <t xml:space="preserve">Exactly once</t>
  </si>
  <si>
    <t xml:space="preserve">Check and Issue again; Issue on a student who has one</t>
  </si>
  <si>
    <t xml:space="preserve">No second account; the same number answered; one batch at a time</t>
  </si>
  <si>
    <t xml:space="preserve">SC-46</t>
  </si>
  <si>
    <t xml:space="preserve">Issue one</t>
  </si>
  <si>
    <t xml:space="preserve">On a student without one, Issue the account number</t>
  </si>
  <si>
    <t xml:space="preserve">Issued and shown on the family page with Copy</t>
  </si>
  <si>
    <t xml:space="preserve">Paystack test, phone</t>
  </si>
  <si>
    <t xml:space="preserve">SC-47</t>
  </si>
  <si>
    <t xml:space="preserve">Pay into a student's account</t>
  </si>
  <si>
    <t xml:space="preserve">Pay into a student's account (Paystack test)</t>
  </si>
  <si>
    <t xml:space="preserve">Lands on that student's oldest open invoice by itself; receipt issued; Overview counts it "Matched by itself"</t>
  </si>
  <si>
    <t xml:space="preserve">SC-48</t>
  </si>
  <si>
    <t xml:space="preserve">Siblings</t>
  </si>
  <si>
    <t xml:space="preserve">With the sibling setting off, overpay into child 1; turn it on and overpay again</t>
  </si>
  <si>
    <t xml:space="preserve">Off: extra is child 1's credit. On: extra pays the sibling's invoice</t>
  </si>
  <si>
    <t xml:space="preserve">SC-49</t>
  </si>
  <si>
    <t xml:space="preserve">Look-back</t>
  </si>
  <si>
    <t xml:space="preserve">With the Paystack webhook removed, pay into a student account and wait 15 minutes</t>
  </si>
  <si>
    <t xml:space="preserve">Still found and matched. Owners told once a day the webhook may be missing. Next close lists it under "Found only by the look-back"</t>
  </si>
  <si>
    <t xml:space="preserve">SC-50</t>
  </si>
  <si>
    <t xml:space="preserve">Post a payment</t>
  </si>
  <si>
    <t xml:space="preserve">As the Bursar, Schools &gt; Payments &gt; Post a payment: admission number, ₦20,000, cash, a note</t>
  </si>
  <si>
    <t xml:space="preserve">"₦20,000 posted… (receipt RCT-…)". Invoice shows it "Received by the school" by the Bursar today. Audited</t>
  </si>
  <si>
    <t xml:space="preserve">SC-51</t>
  </si>
  <si>
    <t xml:space="preserve">Post a transfer and a POS payment with a past date</t>
  </si>
  <si>
    <t xml:space="preserve">Both counted; Overview's How parents paid shows each |</t>
  </si>
  <si>
    <t xml:space="preserve">SC-52</t>
  </si>
  <si>
    <t xml:space="preserve">Post more than all of a student's open invoices</t>
  </si>
  <si>
    <t xml:space="preserve">Oldest paid first; the rest becomes family credit |</t>
  </si>
  <si>
    <t xml:space="preserve">SC-53</t>
  </si>
  <si>
    <t xml:space="preserve">An unknown admission number; and double-tap Post</t>
  </si>
  <si>
    <t xml:space="preserve">Unknown refused; no duplicate posting</t>
  </si>
  <si>
    <t xml:space="preserve">SC-54</t>
  </si>
  <si>
    <t xml:space="preserve">Cash threshold</t>
  </si>
  <si>
    <t xml:space="preserve">Cash threshold ₦50,000. Post exactly ₦50,000, then ₦49,999</t>
  </si>
  <si>
    <t xml:space="preserve">The first waits for a second person; the second posts at once</t>
  </si>
  <si>
    <t xml:space="preserve">SC-55</t>
  </si>
  <si>
    <t xml:space="preserve">Waiting</t>
  </si>
  <si>
    <t xml:space="preserve">Open the ₦50,000 request in Payments and on the invoice</t>
  </si>
  <si>
    <t xml:space="preserve">"Waiting for a second person". Not yet on the fees, money log or invoice |</t>
  </si>
  <si>
    <t xml:space="preserve">SC-56</t>
  </si>
  <si>
    <t xml:space="preserve">Four-eyes</t>
  </si>
  <si>
    <t xml:space="preserve">Owner A posts ₦60,000, then tries to approve it</t>
  </si>
  <si>
    <t xml:space="preserve">Cannot: "You asked for this, so a second person decides it" |</t>
  </si>
  <si>
    <t xml:space="preserve">SC-57</t>
  </si>
  <si>
    <t xml:space="preserve">Approve on Telegram</t>
  </si>
  <si>
    <t xml:space="preserve">Owner B taps Approve on Telegram; then tries Approve again in the web app</t>
  </si>
  <si>
    <t xml:space="preserve">Posted once with a receipt; the second decision refused; requester notified; audited</t>
  </si>
  <si>
    <t xml:space="preserve">SC-58</t>
  </si>
  <si>
    <t xml:space="preserve">Decline without a reason, then with one</t>
  </si>
  <si>
    <t xml:space="preserve">No reason refused. With a reason: nothing posted; reason kept; requester told</t>
  </si>
  <si>
    <t xml:space="preserve">SC-59</t>
  </si>
  <si>
    <t xml:space="preserve">Threshold settings</t>
  </si>
  <si>
    <t xml:space="preserve">Cash threshold 0 and post ₦100; clear the threshold and post ₦1,000,000</t>
  </si>
  <si>
    <t xml:space="preserve">At 0 every posting waits; empty means no second person |</t>
  </si>
  <si>
    <t xml:space="preserve">SC-60</t>
  </si>
  <si>
    <t xml:space="preserve">Receipts</t>
  </si>
  <si>
    <t xml:space="preserve">Schools &gt; Receipts: find a receipt by its number typed in lowercase</t>
  </si>
  <si>
    <t xml:space="preserve">Found. Numbers run RCT-2026T1-0001, 0002… per term. The invoice names the receipt |</t>
  </si>
  <si>
    <t xml:space="preserve">SC-61</t>
  </si>
  <si>
    <t xml:space="preserve">Receipt PDF</t>
  </si>
  <si>
    <t xml:space="preserve">Open PDF on phone and computer; print or save</t>
  </si>
  <si>
    <t xml:space="preserve">A5 page with ₦ correct, school, student, class, amount, date, how received, balance after, number and QR. Opening is audited</t>
  </si>
  <si>
    <t xml:space="preserve">SC-62</t>
  </si>
  <si>
    <t xml:space="preserve">Check receipt</t>
  </si>
  <si>
    <t xml:space="preserve">Scan the QR code with a phone</t>
  </si>
  <si>
    <t xml:space="preserve">Only Valid, school name, amount and date. No student or invoice</t>
  </si>
  <si>
    <t xml:space="preserve">SC-63</t>
  </si>
  <si>
    <t xml:space="preserve">Type a receipt number or a made-up code into the check address</t>
  </si>
  <si>
    <t xml:space="preserve">Not found |</t>
  </si>
  <si>
    <t xml:space="preserve">SC-64</t>
  </si>
  <si>
    <t xml:space="preserve">Undo a payment matched to the wrong invoice</t>
  </si>
  <si>
    <t xml:space="preserve">Receipt marked Voided with why; keeps its number; QR shows Voided; next payment gets a new number |</t>
  </si>
  <si>
    <t xml:space="preserve">SC-65</t>
  </si>
  <si>
    <t xml:space="preserve">Family page</t>
  </si>
  <si>
    <t xml:space="preserve">Open the link from the invoice SMS on a phone; switch children; bookmark one</t>
  </si>
  <si>
    <t xml:space="preserve">This term's lines, discounts, WAEC label, paid and due, balance, family credit, account number with Copy, receipts</t>
  </si>
  <si>
    <t xml:space="preserve">SMS, phone</t>
  </si>
  <si>
    <t xml:space="preserve">SC-66</t>
  </si>
  <si>
    <t xml:space="preserve">For a child with no account number, pay by Paystack test card</t>
  </si>
  <si>
    <t xml:space="preserve">Counted; receipt appears; page updates</t>
  </si>
  <si>
    <t xml:space="preserve">SC-67</t>
  </si>
  <si>
    <t xml:space="preserve">I have paid</t>
  </si>
  <si>
    <t xml:space="preserve">Submit an "I have paid" claim (₦15,000 cash)</t>
  </si>
  <si>
    <t xml:space="preserve">Fees do not change. Shows in To match under "Families say they paid"</t>
  </si>
  <si>
    <t xml:space="preserve">SC-68</t>
  </si>
  <si>
    <t xml:space="preserve">Claims</t>
  </si>
  <si>
    <t xml:space="preserve">Post ₦15,000 cash for that student; dismiss another claim with a reason</t>
  </si>
  <si>
    <t xml:space="preserve">First becomes "found and counted"; the other "dismissed"; family page shows each</t>
  </si>
  <si>
    <t xml:space="preserve">SC-69</t>
  </si>
  <si>
    <t xml:space="preserve">Claims limit</t>
  </si>
  <si>
    <t xml:space="preserve">Submit 6 claims within an hour</t>
  </si>
  <si>
    <t xml:space="preserve">The 6th is refused</t>
  </si>
  <si>
    <t xml:space="preserve">SC-70</t>
  </si>
  <si>
    <t xml:space="preserve">Payment plan request</t>
  </si>
  <si>
    <t xml:space="preserve">Ask for a payment plan in 3 instalments; ask again</t>
  </si>
  <si>
    <t xml:space="preserve">Reaches Payment plans; the second is refused while the first is undecided</t>
  </si>
  <si>
    <t xml:space="preserve">SC-71</t>
  </si>
  <si>
    <t xml:space="preserve">Family links</t>
  </si>
  <si>
    <t xml:space="preserve">Set links to last 1 day. After expiry open the old link and press Send me a new link 4 times; open a made-up link</t>
  </si>
  <si>
    <t xml:space="preserve">Expired: "ask the school for a new link" and a new one sent to the guardian. 4th in an hour refused. Made-up: same words, no button</t>
  </si>
  <si>
    <t xml:space="preserve">SC-72</t>
  </si>
  <si>
    <t xml:space="preserve">Send a link</t>
  </si>
  <si>
    <t xml:space="preserve">On Families press Send a link</t>
  </si>
  <si>
    <t xml:space="preserve">Shown and sent; audited</t>
  </si>
  <si>
    <t xml:space="preserve">SC-73</t>
  </si>
  <si>
    <t xml:space="preserve">Debtors</t>
  </si>
  <si>
    <t xml:space="preserve">Set the fees-due date in the past; Schools &gt; Debtors; pick an age group, filter by class, Download CSV</t>
  </si>
  <si>
    <t xml:space="preserve">Totals for the 5 age groups; rows with balance, last reminder, promise and plan; CSV masked |</t>
  </si>
  <si>
    <t xml:space="preserve">SC-74</t>
  </si>
  <si>
    <t xml:space="preserve">Part-pay one, fully pay another, withdraw one who owes</t>
  </si>
  <si>
    <t xml:space="preserve">Balance lowers; paid one leaves the list; withdrawn stays with status |</t>
  </si>
  <si>
    <t xml:space="preserve">SC-75</t>
  </si>
  <si>
    <t xml:space="preserve">Reminder wording</t>
  </si>
  <si>
    <t xml:space="preserve">Settings &gt; Reminder wording: add {foo}; leave out {link}; exceed 600 characters; leave a step empty</t>
  </si>
  <si>
    <t xml:space="preserve">{foo} refused; missing {link} added; over 600 refused; empty keeps default; preview shows samples |</t>
  </si>
  <si>
    <t xml:space="preserve">SC-76</t>
  </si>
  <si>
    <t xml:space="preserve">Send reminders</t>
  </si>
  <si>
    <t xml:space="preserve">Select two siblings and one other student; step 1; send</t>
  </si>
  <si>
    <t xml:space="preserve">One message per guardian naming both children; Telegram if linked, else SMS; school name first</t>
  </si>
  <si>
    <t xml:space="preserve">SC-77</t>
  </si>
  <si>
    <t xml:space="preserve">Select 51 students; then send step 1 again to the same family that day</t>
  </si>
  <si>
    <t xml:space="preserve">51 refused. The repeat skipped as "sent today". Skips show reasons |</t>
  </si>
  <si>
    <t xml:space="preserve">SC-78</t>
  </si>
  <si>
    <t xml:space="preserve">Promise to pay</t>
  </si>
  <si>
    <t xml:space="preserve">Record a promise; try a second; send a reminder</t>
  </si>
  <si>
    <t xml:space="preserve">One open promise only. Reminder skips the family. Past dates or over a year ahead refused |</t>
  </si>
  <si>
    <t xml:space="preserve">SC-79</t>
  </si>
  <si>
    <t xml:space="preserve">Promise kept or missed</t>
  </si>
  <si>
    <t xml:space="preserve">After the date press Check promises and plans now (no payment; then after part payment); run again</t>
  </si>
  <si>
    <t xml:space="preserve">No payment: missed and bursar told. Payment: kept. Running again changes nothing |</t>
  </si>
  <si>
    <t xml:space="preserve">SC-80</t>
  </si>
  <si>
    <t xml:space="preserve">Payment plans</t>
  </si>
  <si>
    <t xml:space="preserve">Owner B approves a request with changed instalments; declines another with a note; the Bursar tries to decide one</t>
  </si>
  <si>
    <t xml:space="preserve">Family told at once with a fresh link. The Bursar cannot decide</t>
  </si>
  <si>
    <t xml:space="preserve">Telegram or SMS, second person</t>
  </si>
  <si>
    <t xml:space="preserve">SC-81</t>
  </si>
  <si>
    <t xml:space="preserve">Plan standing</t>
  </si>
  <si>
    <t xml:space="preserve">Grace 0; let an instalment date pass; Check now; then pay</t>
  </si>
  <si>
    <t xml:space="preserve">In arrears and bursars told once; reminders resume. Paying restores good standing. Grace accepts 0 to 60 only |</t>
  </si>
  <si>
    <t xml:space="preserve">SC-82</t>
  </si>
  <si>
    <t xml:space="preserve">Clearance rule</t>
  </si>
  <si>
    <t xml:space="preserve">Schools &gt; Clearance by class</t>
  </si>
  <si>
    <t xml:space="preserve">Paid in full: Cleared. Part paid: Partly paid. Unpaid or not invoiced with required fees: Not paid. No required fees: Cleared. Plan in good standing: Cleared. CSV masked |</t>
  </si>
  <si>
    <t xml:space="preserve">SC-83</t>
  </si>
  <si>
    <t xml:space="preserve">Clearance live</t>
  </si>
  <si>
    <t xml:space="preserve">Pay a not-paid student in full; undo the match</t>
  </si>
  <si>
    <t xml:space="preserve">Flips to Cleared at once, then back |</t>
  </si>
  <si>
    <t xml:space="preserve">SC-84</t>
  </si>
  <si>
    <t xml:space="preserve">Overrides</t>
  </si>
  <si>
    <t xml:space="preserve">Owner B: Clear by override without a reason, then with one; try a second; withdraw</t>
  </si>
  <si>
    <t xml:space="preserve">No reason refused; end date defaults to end of term; a second refused; withdraw stops it; audited. The Bursar has no Clear by override</t>
  </si>
  <si>
    <t xml:space="preserve">SC-85</t>
  </si>
  <si>
    <t xml:space="preserve">Override ends</t>
  </si>
  <si>
    <t xml:space="preserve">Set an override ending today; check tomorrow</t>
  </si>
  <si>
    <t xml:space="preserve">No longer counts |</t>
  </si>
  <si>
    <t xml:space="preserve">SC-86</t>
  </si>
  <si>
    <t xml:space="preserve">The gate</t>
  </si>
  <si>
    <t xml:space="preserve">As the Gate user on a phone: search 2 letters then 3; tap a cleared, partly paid, overridden and withdrawn child; try light and dark mode</t>
  </si>
  <si>
    <t xml:space="preserve">Needs 3 letters. "CLEARED" or "SEE THE BURSAR" in large type, never an amount. Overridden is cleared. Withdrawn not found</t>
  </si>
  <si>
    <t xml:space="preserve">SC-87</t>
  </si>
  <si>
    <t xml:space="preserve">Post cash for a "see the bursar" child and check again; search very fast; sign out and in</t>
  </si>
  <si>
    <t xml:space="preserve">Cleared within a minute. Fast searching slowed. Just-checked list cleared on sign-out</t>
  </si>
  <si>
    <t xml:space="preserve">SC-88</t>
  </si>
  <si>
    <t xml:space="preserve">The gate (bursar)</t>
  </si>
  <si>
    <t xml:space="preserve">As the Bursar: Clearance &gt; Open the gate screen</t>
  </si>
  <si>
    <t xml:space="preserve">Same screen, no amounts |</t>
  </si>
  <si>
    <t xml:space="preserve">SC-89</t>
  </si>
  <si>
    <t xml:space="preserve">Overview</t>
  </si>
  <si>
    <t xml:space="preserve">Schools &gt; Overview on a phone; choose another term</t>
  </si>
  <si>
    <t xml:space="preserve">Collected against expected, this week, outstanding, matched by itself against by a person, how parents paid, collected for others, ages, top 5 debtors (masked), cleared and the last close all agree with the rest of the app</t>
  </si>
  <si>
    <t xml:space="preserve">SC-90</t>
  </si>
  <si>
    <t xml:space="preserve">Daily close</t>
  </si>
  <si>
    <t xml:space="preserve">Overview &gt; The daily close: Close yesterday now, then again; make a payment afterwards</t>
  </si>
  <si>
    <t xml:space="preserve">Second press shows the stored close. A later payment does not change it. Says whether it reconciles; links each item; names no students |</t>
  </si>
  <si>
    <t xml:space="preserve">SC-91</t>
  </si>
  <si>
    <t xml:space="preserve">Wait for the next morning's automatic close</t>
  </si>
  <si>
    <t xml:space="preserve">It appears; the proprietor is told on Telegram</t>
  </si>
  <si>
    <t xml:space="preserve">SC-92</t>
  </si>
  <si>
    <t xml:space="preserve">Summaries</t>
  </si>
  <si>
    <t xml:space="preserve">With a term current, read the daily Telegram money summary and the monthly email</t>
  </si>
  <si>
    <t xml:space="preserve">Each has a schools line: collected, outstanding, % cleared</t>
  </si>
  <si>
    <t xml:space="preserve">Telegram, email</t>
  </si>
  <si>
    <t xml:space="preserve">SC-93</t>
  </si>
  <si>
    <t xml:space="preserve">Template: account numbers</t>
  </si>
  <si>
    <t xml:space="preserve">Turn on "Give each new student their own account number"; add a student</t>
  </si>
  <si>
    <t xml:space="preserve">Number within 15 minutes; the family is messaged</t>
  </si>
  <si>
    <t xml:space="preserve">SC-94</t>
  </si>
  <si>
    <t xml:space="preserve">Template: invoice the term</t>
  </si>
  <si>
    <t xml:space="preserve">Turn on "Bill the term's fees when the term starts"; run it by hand</t>
  </si>
  <si>
    <t xml:space="preserve">The bursar gets the counts |</t>
  </si>
  <si>
    <t xml:space="preserve">SC-95</t>
  </si>
  <si>
    <t xml:space="preserve">Template: reminders</t>
  </si>
  <si>
    <t xml:space="preserve">Turn on "Remind families of school fees every week"; run it</t>
  </si>
  <si>
    <t xml:space="preserve">Step chosen by days overdue; at most 50; skips promises and good-standing plans</t>
  </si>
  <si>
    <t xml:space="preserve">SC-96</t>
  </si>
  <si>
    <t xml:space="preserve">Templates: receipt, plan, close, gate list</t>
  </si>
  <si>
    <t xml:space="preserve">Turn on the receipt, plan decided, daily close and gate list templates; trigger each</t>
  </si>
  <si>
    <t xml:space="preserve">Receipt once per payment with check link; plan decision messaged; close flags a day that does not reconcile; gate list one message per class, no amounts</t>
  </si>
  <si>
    <t xml:space="preserve">XC-01</t>
  </si>
  <si>
    <t xml:space="preserve">Browsers</t>
  </si>
  <si>
    <t xml:space="preserve">Repeat the smoke test in Chrome, Firefox, and Safari (if you have a Mac or iPhone) and Edge</t>
  </si>
  <si>
    <t xml:space="preserve">Same behaviour in each; log any layout break with the browser name</t>
  </si>
  <si>
    <t xml:space="preserve">XC-02</t>
  </si>
  <si>
    <t xml:space="preserve">Use the main pages on a small Android phone (5 to 6 inch) in Chrome</t>
  </si>
  <si>
    <t xml:space="preserve">Nothing cut off; buttons big enough to tap; no sideways scrolling</t>
  </si>
  <si>
    <t xml:space="preserve">XC-03</t>
  </si>
  <si>
    <t xml:space="preserve">Slow network</t>
  </si>
  <si>
    <t xml:space="preserve">In Chrome DevTools set the network to "Slow 3G" (or use a weak mobile signal); open a storefront and the dashboard</t>
  </si>
  <si>
    <t xml:space="preserve">Pages still load; note load times; nothing hangs forever</t>
  </si>
  <si>
    <t xml:space="preserve">XC-04</t>
  </si>
  <si>
    <t xml:space="preserve">Offline</t>
  </si>
  <si>
    <t xml:space="preserve">Turn data off mid-action (saving a row, paying)</t>
  </si>
  <si>
    <t xml:space="preserve">A plain error; nothing saved twice when you retry</t>
  </si>
  <si>
    <t xml:space="preserve">XC-05</t>
  </si>
  <si>
    <t xml:space="preserve">Double clicks</t>
  </si>
  <si>
    <t xml:space="preserve">Double-click or double-tap Save, Pay, Approve, Publish, Send</t>
  </si>
  <si>
    <t xml:space="preserve">Only one action happens (one row, one payment, one message)</t>
  </si>
  <si>
    <t xml:space="preserve">XC-06</t>
  </si>
  <si>
    <t xml:space="preserve">Back button</t>
  </si>
  <si>
    <t xml:space="preserve">Use the browser Back and Refresh in the middle of forms and payments</t>
  </si>
  <si>
    <t xml:space="preserve">No duplicate actions; no lost work without a warning</t>
  </si>
  <si>
    <t xml:space="preserve">XC-07</t>
  </si>
  <si>
    <t xml:space="preserve">Long and odd input</t>
  </si>
  <si>
    <t xml:space="preserve">Enter very long names, names with apostrophes (Ọlá, O'Neil), emojis, ₦ signs, leading spaces</t>
  </si>
  <si>
    <t xml:space="preserve">Saved and shown correctly, or refused with a reason; never a crash</t>
  </si>
  <si>
    <t xml:space="preserve">XC-08</t>
  </si>
  <si>
    <t xml:space="preserve">Amounts</t>
  </si>
  <si>
    <t xml:space="preserve">Enter amounts as 25000, 25,000, 25k, 0, -500, 0.5</t>
  </si>
  <si>
    <t xml:space="preserve">Each understood or refused clearly; money is never wrong by a factor of 100</t>
  </si>
  <si>
    <t xml:space="preserve">XC-09</t>
  </si>
  <si>
    <t xml:space="preserve">Dates and time</t>
  </si>
  <si>
    <t xml:space="preserve">Check every date and time shown is Lagos time and in a clear format</t>
  </si>
  <si>
    <t xml:space="preserve">Consistent, and correct around midnight</t>
  </si>
  <si>
    <t xml:space="preserve">XC-10</t>
  </si>
  <si>
    <t xml:space="preserve">Isolation</t>
  </si>
  <si>
    <t xml:space="preserve">With two organisations, copy the address of a record (invoice, table, order) from one and open it signed in to the other</t>
  </si>
  <si>
    <t xml:space="preserve">Not found or refused: one business never sees another's data</t>
  </si>
  <si>
    <t xml:space="preserve">XC-11</t>
  </si>
  <si>
    <t xml:space="preserve">On every page and every chat message, note technical words or confusing English</t>
  </si>
  <si>
    <t xml:space="preserve">Logged as S4 (wording) with a suggested plain alternative</t>
  </si>
  <si>
    <t xml:space="preserve">XC-12</t>
  </si>
  <si>
    <t xml:space="preserve">Accessibility</t>
  </si>
  <si>
    <t xml:space="preserve">Use Tab and Enter to move through sign-in, a form and a payment; zoom the browser to 200%</t>
  </si>
  <si>
    <t xml:space="preserve">Everything reachable by keyboard; nothing breaks at 200%</t>
  </si>
  <si>
    <t xml:space="preserve">XC-13</t>
  </si>
  <si>
    <t xml:space="preserve">Errors</t>
  </si>
  <si>
    <t xml:space="preserve">Note any page that shows a raw error, a code, "undefined", "null" or an endless spinner</t>
  </si>
  <si>
    <t xml:space="preserve">Logged with the address and steps</t>
  </si>
  <si>
    <t xml:space="preserve">XC-14</t>
  </si>
  <si>
    <t xml:space="preserve">Emails and SMS</t>
  </si>
  <si>
    <t xml:space="preserve">Read every email and SMS Taskiem sends during the month</t>
  </si>
  <si>
    <t xml:space="preserve">Correct business name, no broken links, no technical words, sensible sender</t>
  </si>
  <si>
    <t xml:space="preserve">Email, SMS</t>
  </si>
  <si>
    <t xml:space="preserve">One row per bug. Row 4 is an example: delete it before your first weekly report.</t>
  </si>
  <si>
    <t xml:space="preserve">Bug ID</t>
  </si>
  <si>
    <t xml:space="preserve">Date found</t>
  </si>
  <si>
    <t xml:space="preserve">Time found</t>
  </si>
  <si>
    <t xml:space="preserve">Test case</t>
  </si>
  <si>
    <t xml:space="preserve">Title</t>
  </si>
  <si>
    <t xml:space="preserve">Steps to reproduce</t>
  </si>
  <si>
    <t xml:space="preserve">Expected</t>
  </si>
  <si>
    <t xml:space="preserve">Actual</t>
  </si>
  <si>
    <t xml:space="preserve">Type</t>
  </si>
  <si>
    <t xml:space="preserve">Account and organisation</t>
  </si>
  <si>
    <t xml:space="preserve">Evidence link</t>
  </si>
  <si>
    <t xml:space="preserve">Status</t>
  </si>
  <si>
    <t xml:space="preserve">Priority</t>
  </si>
  <si>
    <t xml:space="preserve">Assigned to</t>
  </si>
  <si>
    <t xml:space="preserve">Fixed on</t>
  </si>
  <si>
    <t xml:space="preserve">Retest date</t>
  </si>
  <si>
    <t xml:space="preserve">Ever set to Needs info?</t>
  </si>
  <si>
    <t xml:space="preserve">S1 messaged within 1 hour?</t>
  </si>
  <si>
    <t xml:space="preserve">Working days to retest</t>
  </si>
  <si>
    <t xml:space="preserve">BUG-000 (example)</t>
  </si>
  <si>
    <t xml:space="preserve">10:42</t>
  </si>
  <si>
    <t xml:space="preserve">Reconciliation</t>
  </si>
  <si>
    <t xml:space="preserve">Part payment of ₦4,000 leaves the invoice showing "Awaiting payment" instead of "Part-paid"</t>
  </si>
  <si>
    <t xml:space="preserve">1. QA Trading, Invoices &gt; Settings: Customers may pay part ON. 2. New invoice ₦10,000 to Customer 1; Send. 3. On Customer 1's phone, pay ₦4,000 by card (Paystack test). 4. Wait 1 minute; refresh the invoice.</t>
  </si>
  <si>
    <t xml:space="preserve">Part-paid; paid ₦4,000; due ₦6,000</t>
  </si>
  <si>
    <t xml:space="preserve">Stays "Awaiting payment"; paid ₦0. Paystack test shows the payment successful at 10:42</t>
  </si>
  <si>
    <t xml:space="preserve">Bug</t>
  </si>
  <si>
    <t xml:space="preserve">Tecno Spark 10, Chrome</t>
  </si>
  <si>
    <t xml:space="preserve">Customer 1; QA Trading</t>
  </si>
  <si>
    <t xml:space="preserve">(link to BUG-000-1.png)</t>
  </si>
  <si>
    <t xml:space="preserve">P1</t>
  </si>
  <si>
    <t xml:space="preserve">(engineer)</t>
  </si>
  <si>
    <t xml:space="preserve">No</t>
  </si>
  <si>
    <t xml:space="preserve">Yes</t>
  </si>
  <si>
    <t xml:space="preserve">Invented example to show the format</t>
  </si>
  <si>
    <t xml:space="preserve">Fill in by 17:30 each day. The grey-headed count columns fill themselves from the Test cases tab (by planned day).</t>
  </si>
  <si>
    <t xml:space="preserve">Planned cases</t>
  </si>
  <si>
    <t xml:space="preserve">Bugs logged today</t>
  </si>
  <si>
    <t xml:space="preserve">S1 and S2 bug IDs</t>
  </si>
  <si>
    <t xml:space="preserve">Retested</t>
  </si>
  <si>
    <t xml:space="preserve">Blockers, and who you told</t>
  </si>
  <si>
    <t xml:space="preserve">Staging updates seen</t>
  </si>
  <si>
    <t xml:space="preserve">Done by 17:30?</t>
  </si>
  <si>
    <t xml:space="preserve">Exploratory sessions</t>
  </si>
  <si>
    <t xml:space="preserve">One row per session. Charters are from the plan, section 4.3.</t>
  </si>
  <si>
    <t xml:space="preserve">Session</t>
  </si>
  <si>
    <t xml:space="preserve">Charter</t>
  </si>
  <si>
    <t xml:space="preserve">Minutes spent</t>
  </si>
  <si>
    <t xml:space="preserve">What I tried</t>
  </si>
  <si>
    <t xml:space="preserve">Bugs found (IDs)</t>
  </si>
  <si>
    <t xml:space="preserve">Questions and ideas</t>
  </si>
  <si>
    <t xml:space="preserve">Explore the workflow builder as a shop owner who has never used software like it, on a phone, to find where they would get stuck or lost</t>
  </si>
  <si>
    <t xml:space="preserve">Explore reconciliation with a messy month of money (a bank statement with odd references, part payments, a refund) to find wrong totals, lost payments or double counting</t>
  </si>
  <si>
    <t xml:space="preserve">Explore the storefront as a customer on a cheap phone and a slow network who orders, pays, changes their mind and books, to find anything that confuses or fails them</t>
  </si>
  <si>
    <t xml:space="preserve">Explore resumption morning at a school: parents paying cash, the gate checking children, the proprietor reading the close, to find delays, wrong clearance or confusing screens</t>
  </si>
  <si>
    <t xml:space="preserve">Free session: go back to the area with the most bugs and dig deeper</t>
  </si>
  <si>
    <t xml:space="preserve">Test identities and organisations</t>
  </si>
  <si>
    <t xml:space="preserve">Never write a password here.</t>
  </si>
  <si>
    <t xml:space="preserve">Who</t>
  </si>
  <si>
    <t xml:space="preserve">Role in Taskiem</t>
  </si>
  <si>
    <t xml:space="preserve">Phone (last 4 digits)</t>
  </si>
  <si>
    <t xml:space="preserve">Organisations</t>
  </si>
  <si>
    <t xml:space="preserve">Telegram linked?</t>
  </si>
  <si>
    <t xml:space="preserve">Owner A (you)</t>
  </si>
  <si>
    <t xml:space="preserve">Owner</t>
  </si>
  <si>
    <t xml:space="preserve">Owner B</t>
  </si>
  <si>
    <t xml:space="preserve">Admin</t>
  </si>
  <si>
    <t xml:space="preserve">Viewer or Auditor</t>
  </si>
  <si>
    <t xml:space="preserve">Bursar</t>
  </si>
  <si>
    <t xml:space="preserve">Bursar (custom role)</t>
  </si>
  <si>
    <t xml:space="preserve">Gate</t>
  </si>
  <si>
    <t xml:space="preserve">Customer 1</t>
  </si>
  <si>
    <t xml:space="preserve">No account</t>
  </si>
  <si>
    <t xml:space="preserve">Customer 2</t>
  </si>
  <si>
    <t xml:space="preserve">Customer 3</t>
  </si>
  <si>
    <t xml:space="preserve">Field agent</t>
  </si>
  <si>
    <t xml:space="preserve">Registered agent</t>
  </si>
  <si>
    <t xml:space="preserve">Platform operator</t>
  </si>
  <si>
    <t xml:space="preserve">Operator console</t>
  </si>
  <si>
    <t xml:space="preserve">Organisation</t>
  </si>
  <si>
    <t xml:space="preserve">Used for</t>
  </si>
  <si>
    <t xml:space="preserve">Created on</t>
  </si>
  <si>
    <t xml:space="preserve">QA Trading</t>
  </si>
  <si>
    <t xml:space="preserve">Core, chat, reconciliation</t>
  </si>
  <si>
    <t xml:space="preserve">QA Shop</t>
  </si>
  <si>
    <t xml:space="preserve">Storefront (one-person business)</t>
  </si>
  <si>
    <t xml:space="preserve">QA Shop Two</t>
  </si>
  <si>
    <t xml:space="preserve">Chat set-up, agent sign-up</t>
  </si>
  <si>
    <t xml:space="preserve">QA School</t>
  </si>
  <si>
    <t xml:space="preserve">QA School Two</t>
  </si>
  <si>
    <t xml:space="preserve">QA Other</t>
  </si>
  <si>
    <t xml:space="preserve">Isolation checks (XC-10)</t>
  </si>
  <si>
    <t xml:space="preserve">New</t>
  </si>
  <si>
    <t xml:space="preserve">Core</t>
  </si>
  <si>
    <t xml:space="preserve">Confirmed</t>
  </si>
  <si>
    <t xml:space="preserve">Wording</t>
  </si>
  <si>
    <t xml:space="preserve">P2</t>
  </si>
  <si>
    <t xml:space="preserve">Design or usability</t>
  </si>
  <si>
    <t xml:space="preserve">P3</t>
  </si>
  <si>
    <t xml:space="preserve">In progress</t>
  </si>
  <si>
    <t xml:space="preserve">Doc mismatch</t>
  </si>
  <si>
    <t xml:space="preserve">Storefront</t>
  </si>
  <si>
    <t xml:space="preserve">Suggestion</t>
  </si>
  <si>
    <t xml:space="preserve">Across</t>
  </si>
  <si>
    <t xml:space="preserve">Won't fix</t>
  </si>
  <si>
    <t xml:space="preserve">Duplicate</t>
  </si>
  <si>
    <t xml:space="preserve">Not a bug</t>
  </si>
</sst>
</file>

<file path=xl/styles.xml><?xml version="1.0" encoding="utf-8"?>
<styleSheet xmlns="http://schemas.openxmlformats.org/spreadsheetml/2006/main">
  <numFmts count="5">
    <numFmt numFmtId="164" formatCode="General"/>
    <numFmt numFmtId="165" formatCode="0%"/>
    <numFmt numFmtId="166" formatCode="ddd\ d\ mmm"/>
    <numFmt numFmtId="167" formatCode="d\ mmm\ yyyy"/>
    <numFmt numFmtId="168"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0D3B2E"/>
      <name val="Arial"/>
      <family val="0"/>
      <charset val="1"/>
    </font>
    <font>
      <sz val="10"/>
      <color rgb="FF5B6B64"/>
      <name val="Arial"/>
      <family val="0"/>
      <charset val="1"/>
    </font>
    <font>
      <b val="true"/>
      <sz val="12"/>
      <color rgb="FF0D3B2E"/>
      <name val="Arial"/>
      <family val="0"/>
      <charset val="1"/>
    </font>
    <font>
      <sz val="10"/>
      <color rgb="FF1F2A26"/>
      <name val="Arial"/>
      <family val="0"/>
      <charset val="1"/>
    </font>
    <font>
      <b val="true"/>
      <sz val="10"/>
      <color rgb="FF1F2A26"/>
      <name val="Arial"/>
      <family val="0"/>
      <charset val="1"/>
    </font>
    <font>
      <b val="true"/>
      <sz val="10"/>
      <color rgb="FFFFFFFF"/>
      <name val="Arial"/>
      <family val="0"/>
      <charset val="1"/>
    </font>
    <font>
      <i val="true"/>
      <sz val="9"/>
      <color rgb="FF5B6B64"/>
      <name val="Arial"/>
      <family val="0"/>
      <charset val="1"/>
    </font>
    <font>
      <i val="true"/>
      <sz val="10"/>
      <color rgb="FF5B6B64"/>
      <name val="Arial"/>
      <family val="0"/>
      <charset val="1"/>
    </font>
  </fonts>
  <fills count="4">
    <fill>
      <patternFill patternType="none"/>
    </fill>
    <fill>
      <patternFill patternType="gray125"/>
    </fill>
    <fill>
      <patternFill patternType="solid">
        <fgColor rgb="FF0D3B2E"/>
        <bgColor rgb="FF1F2A26"/>
      </patternFill>
    </fill>
    <fill>
      <patternFill patternType="solid">
        <fgColor rgb="FFF1F4EF"/>
        <bgColor rgb="FFFFFFFF"/>
      </patternFill>
    </fill>
  </fills>
  <borders count="2">
    <border diagonalUp="false" diagonalDown="false">
      <left/>
      <right/>
      <top/>
      <bottom/>
      <diagonal/>
    </border>
    <border diagonalUp="false" diagonalDown="false">
      <left style="thin">
        <color rgb="FFD5DDD6"/>
      </left>
      <right style="thin">
        <color rgb="FFD5DDD6"/>
      </right>
      <top style="thin">
        <color rgb="FFD5DDD6"/>
      </top>
      <bottom style="thin">
        <color rgb="FFD5DD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7" fontId="11" fillId="3" borderId="1"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D3B2E"/>
          <bgColor rgb="FF000000"/>
        </patternFill>
      </fill>
    </dxf>
    <dxf>
      <fill>
        <patternFill patternType="solid">
          <bgColor rgb="FF000000"/>
        </patternFill>
      </fill>
    </dxf>
    <dxf>
      <fill>
        <patternFill patternType="solid">
          <fgColor rgb="FF1F2A26"/>
          <bgColor rgb="FF000000"/>
        </patternFill>
      </fill>
    </dxf>
    <dxf>
      <fill>
        <patternFill patternType="solid">
          <fgColor rgb="FFFFFFFF"/>
          <bgColor rgb="FF000000"/>
        </patternFill>
      </fill>
    </dxf>
    <dxf>
      <fill>
        <patternFill patternType="solid">
          <fgColor rgb="FFF1F4EF"/>
          <bgColor rgb="FF000000"/>
        </patternFill>
      </fill>
    </dxf>
    <dxf>
      <fill>
        <patternFill>
          <bgColor rgb="FFF8D7D3"/>
        </patternFill>
      </fill>
    </dxf>
    <dxf>
      <fill>
        <patternFill>
          <bgColor rgb="FFFBE8C8"/>
        </patternFill>
      </fill>
    </dxf>
    <dxf>
      <fill>
        <patternFill>
          <bgColor rgb="FFDCEFD8"/>
        </patternFill>
      </fill>
    </dxf>
    <dxf>
      <fill>
        <patternFill patternType="solid">
          <fgColor rgb="FF5B6B6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1F4EF"/>
      <rgbColor rgb="FFCCFFFF"/>
      <rgbColor rgb="FF660066"/>
      <rgbColor rgb="FFFF8080"/>
      <rgbColor rgb="FF0066CC"/>
      <rgbColor rgb="FFD5DDD6"/>
      <rgbColor rgb="FF000080"/>
      <rgbColor rgb="FFFF00FF"/>
      <rgbColor rgb="FFFFFF00"/>
      <rgbColor rgb="FF00FFFF"/>
      <rgbColor rgb="FF800080"/>
      <rgbColor rgb="FF800000"/>
      <rgbColor rgb="FF008080"/>
      <rgbColor rgb="FF0000FF"/>
      <rgbColor rgb="FF00CCFF"/>
      <rgbColor rgb="FFCCFFFF"/>
      <rgbColor rgb="FFDCEFD8"/>
      <rgbColor rgb="FFFBE8C8"/>
      <rgbColor rgb="FF99CCFF"/>
      <rgbColor rgb="FFFF99CC"/>
      <rgbColor rgb="FFCC99FF"/>
      <rgbColor rgb="FFF8D7D3"/>
      <rgbColor rgb="FF3366FF"/>
      <rgbColor rgb="FF33CCCC"/>
      <rgbColor rgb="FF99CC00"/>
      <rgbColor rgb="FFFFCC00"/>
      <rgbColor rgb="FFFF9900"/>
      <rgbColor rgb="FFFF6600"/>
      <rgbColor rgb="FF5B6B64"/>
      <rgbColor rgb="FF969696"/>
      <rgbColor rgb="FF003366"/>
      <rgbColor rgb="FF339966"/>
      <rgbColor rgb="FF0D3B2E"/>
      <rgbColor rgb="FF333300"/>
      <rgbColor rgb="FF993300"/>
      <rgbColor rgb="FF993366"/>
      <rgbColor rgb="FF333399"/>
      <rgbColor rgb="FF1F2A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23.85" hidden="false" customHeight="false" outlineLevel="0" collapsed="false">
      <c r="A6" s="5" t="s">
        <v>5</v>
      </c>
      <c r="B6" s="4" t="s">
        <v>6</v>
      </c>
    </row>
    <row r="7" customFormat="false" ht="23.8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5" t="s">
        <v>13</v>
      </c>
      <c r="B10" s="4" t="s">
        <v>14</v>
      </c>
    </row>
    <row r="11" customFormat="false" ht="23.85" hidden="false" customHeight="false" outlineLevel="0" collapsed="false">
      <c r="A11" s="5" t="s">
        <v>15</v>
      </c>
      <c r="B11" s="4" t="s">
        <v>16</v>
      </c>
    </row>
    <row r="12" customFormat="false" ht="15" hidden="false" customHeight="false" outlineLevel="0" collapsed="false">
      <c r="A12" s="6"/>
      <c r="B12" s="4"/>
    </row>
    <row r="13" customFormat="false" ht="15" hidden="false" customHeight="false" outlineLevel="0" collapsed="false">
      <c r="A13" s="5" t="s">
        <v>17</v>
      </c>
      <c r="B13" s="4" t="s">
        <v>18</v>
      </c>
    </row>
    <row r="14" customFormat="false" ht="23.85" hidden="false" customHeight="false" outlineLevel="0" collapsed="false">
      <c r="A14" s="5" t="s">
        <v>19</v>
      </c>
      <c r="B14" s="4" t="s">
        <v>20</v>
      </c>
    </row>
    <row r="15" customFormat="false" ht="15" hidden="false" customHeight="false" outlineLevel="0" collapsed="false">
      <c r="A15" s="5" t="s">
        <v>21</v>
      </c>
      <c r="B15" s="4" t="s">
        <v>22</v>
      </c>
    </row>
    <row r="16" customFormat="false" ht="15" hidden="false" customHeight="false" outlineLevel="0" collapsed="false">
      <c r="A16" s="5" t="s">
        <v>23</v>
      </c>
      <c r="B16" s="4" t="s">
        <v>24</v>
      </c>
    </row>
    <row r="17" customFormat="false" ht="15" hidden="false" customHeight="false" outlineLevel="0" collapsed="false">
      <c r="A17" s="5" t="s">
        <v>25</v>
      </c>
      <c r="B17" s="4"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9"/>
    <col collapsed="false" customWidth="true" hidden="false" outlineLevel="0" max="4" min="4" style="0" width="11"/>
    <col collapsed="false" customWidth="true" hidden="false" outlineLevel="0" max="7" min="5" style="0" width="9"/>
    <col collapsed="false" customWidth="true" hidden="false" outlineLevel="0" max="8" min="8" style="0" width="11"/>
    <col collapsed="false" customWidth="true" hidden="false" outlineLevel="0" max="9" min="9" style="0" width="12"/>
  </cols>
  <sheetData>
    <row r="1" customFormat="false" ht="19.7" hidden="false" customHeight="false" outlineLevel="0" collapsed="false">
      <c r="A1" s="1" t="s">
        <v>15</v>
      </c>
    </row>
    <row r="2" customFormat="false" ht="15" hidden="false" customHeight="false" outlineLevel="0" collapsed="false">
      <c r="A2" s="2" t="s">
        <v>27</v>
      </c>
    </row>
    <row r="4" customFormat="false" ht="30" hidden="false" customHeight="true" outlineLevel="0" collapsed="false">
      <c r="A4" s="7" t="s">
        <v>28</v>
      </c>
      <c r="B4" s="7" t="s">
        <v>29</v>
      </c>
      <c r="C4" s="7" t="s">
        <v>30</v>
      </c>
      <c r="D4" s="7" t="s">
        <v>31</v>
      </c>
      <c r="E4" s="7" t="s">
        <v>32</v>
      </c>
      <c r="F4" s="7" t="s">
        <v>33</v>
      </c>
      <c r="G4" s="7" t="s">
        <v>34</v>
      </c>
      <c r="H4" s="7" t="s">
        <v>35</v>
      </c>
      <c r="I4" s="7" t="s">
        <v>36</v>
      </c>
    </row>
    <row r="5" customFormat="false" ht="15" hidden="false" customHeight="false" outlineLevel="0" collapsed="false">
      <c r="A5" s="8" t="s">
        <v>37</v>
      </c>
      <c r="B5" s="8" t="n">
        <f aca="false">COUNTIF('Test cases'!$B$2:$B$380,A5)</f>
        <v>8</v>
      </c>
      <c r="C5" s="8" t="n">
        <f aca="false">COUNTIFS('Test cases'!$B$2:$B$380,$A5,'Test cases'!$J$2:$J$380,"Pass")</f>
        <v>0</v>
      </c>
      <c r="D5" s="8" t="n">
        <f aca="false">COUNTIFS('Test cases'!$B$2:$B$380,$A5,'Test cases'!$J$2:$J$380,"Pass with note")</f>
        <v>0</v>
      </c>
      <c r="E5" s="8" t="n">
        <f aca="false">COUNTIFS('Test cases'!$B$2:$B$380,$A5,'Test cases'!$J$2:$J$380,"Fail")</f>
        <v>0</v>
      </c>
      <c r="F5" s="8" t="n">
        <f aca="false">COUNTIFS('Test cases'!$B$2:$B$380,$A5,'Test cases'!$J$2:$J$380,"Blocked")</f>
        <v>0</v>
      </c>
      <c r="G5" s="8" t="n">
        <f aca="false">COUNTIFS('Test cases'!$B$2:$B$380,$A5,'Test cases'!$J$2:$J$380,"Not run")</f>
        <v>0</v>
      </c>
      <c r="H5" s="8" t="n">
        <f aca="false">B5-SUM(C5:G5)</f>
        <v>8</v>
      </c>
      <c r="I5" s="9" t="n">
        <f aca="false">IF(B5=0,0,SUM(C5:F5)/B5)</f>
        <v>0</v>
      </c>
    </row>
    <row r="6" customFormat="false" ht="15" hidden="false" customHeight="false" outlineLevel="0" collapsed="false">
      <c r="A6" s="8" t="s">
        <v>38</v>
      </c>
      <c r="B6" s="8" t="n">
        <f aca="false">COUNTIF('Test cases'!$B$2:$B$380,A6)</f>
        <v>70</v>
      </c>
      <c r="C6" s="8" t="n">
        <f aca="false">COUNTIFS('Test cases'!$B$2:$B$380,$A6,'Test cases'!$J$2:$J$380,"Pass")</f>
        <v>0</v>
      </c>
      <c r="D6" s="8" t="n">
        <f aca="false">COUNTIFS('Test cases'!$B$2:$B$380,$A6,'Test cases'!$J$2:$J$380,"Pass with note")</f>
        <v>0</v>
      </c>
      <c r="E6" s="8" t="n">
        <f aca="false">COUNTIFS('Test cases'!$B$2:$B$380,$A6,'Test cases'!$J$2:$J$380,"Fail")</f>
        <v>0</v>
      </c>
      <c r="F6" s="8" t="n">
        <f aca="false">COUNTIFS('Test cases'!$B$2:$B$380,$A6,'Test cases'!$J$2:$J$380,"Blocked")</f>
        <v>0</v>
      </c>
      <c r="G6" s="8" t="n">
        <f aca="false">COUNTIFS('Test cases'!$B$2:$B$380,$A6,'Test cases'!$J$2:$J$380,"Not run")</f>
        <v>0</v>
      </c>
      <c r="H6" s="8" t="n">
        <f aca="false">B6-SUM(C6:G6)</f>
        <v>70</v>
      </c>
      <c r="I6" s="9" t="n">
        <f aca="false">IF(B6=0,0,SUM(C6:F6)/B6)</f>
        <v>0</v>
      </c>
    </row>
    <row r="7" customFormat="false" ht="15" hidden="false" customHeight="false" outlineLevel="0" collapsed="false">
      <c r="A7" s="8" t="s">
        <v>39</v>
      </c>
      <c r="B7" s="8" t="n">
        <f aca="false">COUNTIF('Test cases'!$B$2:$B$380,A7)</f>
        <v>20</v>
      </c>
      <c r="C7" s="8" t="n">
        <f aca="false">COUNTIFS('Test cases'!$B$2:$B$380,$A7,'Test cases'!$J$2:$J$380,"Pass")</f>
        <v>0</v>
      </c>
      <c r="D7" s="8" t="n">
        <f aca="false">COUNTIFS('Test cases'!$B$2:$B$380,$A7,'Test cases'!$J$2:$J$380,"Pass with note")</f>
        <v>0</v>
      </c>
      <c r="E7" s="8" t="n">
        <f aca="false">COUNTIFS('Test cases'!$B$2:$B$380,$A7,'Test cases'!$J$2:$J$380,"Fail")</f>
        <v>0</v>
      </c>
      <c r="F7" s="8" t="n">
        <f aca="false">COUNTIFS('Test cases'!$B$2:$B$380,$A7,'Test cases'!$J$2:$J$380,"Blocked")</f>
        <v>0</v>
      </c>
      <c r="G7" s="8" t="n">
        <f aca="false">COUNTIFS('Test cases'!$B$2:$B$380,$A7,'Test cases'!$J$2:$J$380,"Not run")</f>
        <v>0</v>
      </c>
      <c r="H7" s="8" t="n">
        <f aca="false">B7-SUM(C7:G7)</f>
        <v>20</v>
      </c>
      <c r="I7" s="9" t="n">
        <f aca="false">IF(B7=0,0,SUM(C7:F7)/B7)</f>
        <v>0</v>
      </c>
    </row>
    <row r="8" customFormat="false" ht="15" hidden="false" customHeight="false" outlineLevel="0" collapsed="false">
      <c r="A8" s="8" t="s">
        <v>40</v>
      </c>
      <c r="B8" s="8" t="n">
        <f aca="false">COUNTIF('Test cases'!$B$2:$B$380,A8)</f>
        <v>95</v>
      </c>
      <c r="C8" s="8" t="n">
        <f aca="false">COUNTIFS('Test cases'!$B$2:$B$380,$A8,'Test cases'!$J$2:$J$380,"Pass")</f>
        <v>0</v>
      </c>
      <c r="D8" s="8" t="n">
        <f aca="false">COUNTIFS('Test cases'!$B$2:$B$380,$A8,'Test cases'!$J$2:$J$380,"Pass with note")</f>
        <v>0</v>
      </c>
      <c r="E8" s="8" t="n">
        <f aca="false">COUNTIFS('Test cases'!$B$2:$B$380,$A8,'Test cases'!$J$2:$J$380,"Fail")</f>
        <v>0</v>
      </c>
      <c r="F8" s="8" t="n">
        <f aca="false">COUNTIFS('Test cases'!$B$2:$B$380,$A8,'Test cases'!$J$2:$J$380,"Blocked")</f>
        <v>0</v>
      </c>
      <c r="G8" s="8" t="n">
        <f aca="false">COUNTIFS('Test cases'!$B$2:$B$380,$A8,'Test cases'!$J$2:$J$380,"Not run")</f>
        <v>0</v>
      </c>
      <c r="H8" s="8" t="n">
        <f aca="false">B8-SUM(C8:G8)</f>
        <v>95</v>
      </c>
      <c r="I8" s="9" t="n">
        <f aca="false">IF(B8=0,0,SUM(C8:F8)/B8)</f>
        <v>0</v>
      </c>
    </row>
    <row r="9" customFormat="false" ht="15" hidden="false" customHeight="false" outlineLevel="0" collapsed="false">
      <c r="A9" s="8" t="s">
        <v>41</v>
      </c>
      <c r="B9" s="8" t="n">
        <f aca="false">COUNTIF('Test cases'!$B$2:$B$380,A9)</f>
        <v>76</v>
      </c>
      <c r="C9" s="8" t="n">
        <f aca="false">COUNTIFS('Test cases'!$B$2:$B$380,$A9,'Test cases'!$J$2:$J$380,"Pass")</f>
        <v>0</v>
      </c>
      <c r="D9" s="8" t="n">
        <f aca="false">COUNTIFS('Test cases'!$B$2:$B$380,$A9,'Test cases'!$J$2:$J$380,"Pass with note")</f>
        <v>0</v>
      </c>
      <c r="E9" s="8" t="n">
        <f aca="false">COUNTIFS('Test cases'!$B$2:$B$380,$A9,'Test cases'!$J$2:$J$380,"Fail")</f>
        <v>0</v>
      </c>
      <c r="F9" s="8" t="n">
        <f aca="false">COUNTIFS('Test cases'!$B$2:$B$380,$A9,'Test cases'!$J$2:$J$380,"Blocked")</f>
        <v>0</v>
      </c>
      <c r="G9" s="8" t="n">
        <f aca="false">COUNTIFS('Test cases'!$B$2:$B$380,$A9,'Test cases'!$J$2:$J$380,"Not run")</f>
        <v>0</v>
      </c>
      <c r="H9" s="8" t="n">
        <f aca="false">B9-SUM(C9:G9)</f>
        <v>76</v>
      </c>
      <c r="I9" s="9" t="n">
        <f aca="false">IF(B9=0,0,SUM(C9:F9)/B9)</f>
        <v>0</v>
      </c>
    </row>
    <row r="10" customFormat="false" ht="15" hidden="false" customHeight="false" outlineLevel="0" collapsed="false">
      <c r="A10" s="8" t="s">
        <v>42</v>
      </c>
      <c r="B10" s="8" t="n">
        <f aca="false">COUNTIF('Test cases'!$B$2:$B$380,A10)</f>
        <v>96</v>
      </c>
      <c r="C10" s="8" t="n">
        <f aca="false">COUNTIFS('Test cases'!$B$2:$B$380,$A10,'Test cases'!$J$2:$J$380,"Pass")</f>
        <v>0</v>
      </c>
      <c r="D10" s="8" t="n">
        <f aca="false">COUNTIFS('Test cases'!$B$2:$B$380,$A10,'Test cases'!$J$2:$J$380,"Pass with note")</f>
        <v>0</v>
      </c>
      <c r="E10" s="8" t="n">
        <f aca="false">COUNTIFS('Test cases'!$B$2:$B$380,$A10,'Test cases'!$J$2:$J$380,"Fail")</f>
        <v>0</v>
      </c>
      <c r="F10" s="8" t="n">
        <f aca="false">COUNTIFS('Test cases'!$B$2:$B$380,$A10,'Test cases'!$J$2:$J$380,"Blocked")</f>
        <v>0</v>
      </c>
      <c r="G10" s="8" t="n">
        <f aca="false">COUNTIFS('Test cases'!$B$2:$B$380,$A10,'Test cases'!$J$2:$J$380,"Not run")</f>
        <v>0</v>
      </c>
      <c r="H10" s="8" t="n">
        <f aca="false">B10-SUM(C10:G10)</f>
        <v>96</v>
      </c>
      <c r="I10" s="9" t="n">
        <f aca="false">IF(B10=0,0,SUM(C10:F10)/B10)</f>
        <v>0</v>
      </c>
    </row>
    <row r="11" customFormat="false" ht="15" hidden="false" customHeight="false" outlineLevel="0" collapsed="false">
      <c r="A11" s="8" t="s">
        <v>43</v>
      </c>
      <c r="B11" s="8" t="n">
        <f aca="false">COUNTIF('Test cases'!$B$2:$B$380,A11)</f>
        <v>14</v>
      </c>
      <c r="C11" s="8" t="n">
        <f aca="false">COUNTIFS('Test cases'!$B$2:$B$380,$A11,'Test cases'!$J$2:$J$380,"Pass")</f>
        <v>0</v>
      </c>
      <c r="D11" s="8" t="n">
        <f aca="false">COUNTIFS('Test cases'!$B$2:$B$380,$A11,'Test cases'!$J$2:$J$380,"Pass with note")</f>
        <v>0</v>
      </c>
      <c r="E11" s="8" t="n">
        <f aca="false">COUNTIFS('Test cases'!$B$2:$B$380,$A11,'Test cases'!$J$2:$J$380,"Fail")</f>
        <v>0</v>
      </c>
      <c r="F11" s="8" t="n">
        <f aca="false">COUNTIFS('Test cases'!$B$2:$B$380,$A11,'Test cases'!$J$2:$J$380,"Blocked")</f>
        <v>0</v>
      </c>
      <c r="G11" s="8" t="n">
        <f aca="false">COUNTIFS('Test cases'!$B$2:$B$380,$A11,'Test cases'!$J$2:$J$380,"Not run")</f>
        <v>0</v>
      </c>
      <c r="H11" s="8" t="n">
        <f aca="false">B11-SUM(C11:G11)</f>
        <v>14</v>
      </c>
      <c r="I11" s="9" t="n">
        <f aca="false">IF(B11=0,0,SUM(C11:F11)/B11)</f>
        <v>0</v>
      </c>
    </row>
    <row r="12" customFormat="false" ht="15" hidden="false" customHeight="false" outlineLevel="0" collapsed="false">
      <c r="A12" s="10" t="s">
        <v>44</v>
      </c>
      <c r="B12" s="10" t="n">
        <f aca="false">SUM(B5:B11)</f>
        <v>379</v>
      </c>
      <c r="C12" s="10" t="n">
        <f aca="false">SUM(C5:C11)</f>
        <v>0</v>
      </c>
      <c r="D12" s="10" t="n">
        <f aca="false">SUM(D5:D11)</f>
        <v>0</v>
      </c>
      <c r="E12" s="10" t="n">
        <f aca="false">SUM(E5:E11)</f>
        <v>0</v>
      </c>
      <c r="F12" s="10" t="n">
        <f aca="false">SUM(F5:F11)</f>
        <v>0</v>
      </c>
      <c r="G12" s="10" t="n">
        <f aca="false">SUM(G5:G11)</f>
        <v>0</v>
      </c>
      <c r="H12" s="10" t="n">
        <f aca="false">SUM(H5:H11)</f>
        <v>379</v>
      </c>
      <c r="I12" s="11" t="n">
        <f aca="false">IF(B12=0,0,SUM(C12:F12)/B12)</f>
        <v>0</v>
      </c>
    </row>
    <row r="15" customFormat="false" ht="30" hidden="false" customHeight="true" outlineLevel="0" collapsed="false">
      <c r="A15" s="7" t="s">
        <v>45</v>
      </c>
      <c r="B15" s="7" t="s">
        <v>46</v>
      </c>
      <c r="C15" s="7" t="s">
        <v>47</v>
      </c>
      <c r="D15" s="7" t="s">
        <v>48</v>
      </c>
      <c r="E15" s="7" t="s">
        <v>49</v>
      </c>
      <c r="F15" s="7" t="s">
        <v>50</v>
      </c>
      <c r="G15" s="7" t="s">
        <v>51</v>
      </c>
      <c r="H15" s="7" t="s">
        <v>52</v>
      </c>
      <c r="I15" s="7"/>
    </row>
    <row r="16" customFormat="false" ht="15" hidden="false" customHeight="false" outlineLevel="0" collapsed="false">
      <c r="A16" s="8" t="s">
        <v>53</v>
      </c>
      <c r="B16" s="8" t="n">
        <f aca="false">COUNTIF(Bugs!$J$5:$J$303,A16)</f>
        <v>0</v>
      </c>
      <c r="C16" s="8" t="n">
        <f aca="false">B16-E16-G16</f>
        <v>0</v>
      </c>
      <c r="D16" s="8" t="n">
        <f aca="false">COUNTIFS(Bugs!$J$5:$J$303,A16,Bugs!$O$5:$O$303,"Fixed: ready to retest")</f>
        <v>0</v>
      </c>
      <c r="E16" s="8" t="n">
        <f aca="false">COUNTIFS(Bugs!$J$5:$J$303,A16,Bugs!$O$5:$O$303,"Closed")</f>
        <v>0</v>
      </c>
      <c r="F16" s="8" t="n">
        <f aca="false">COUNTIFS(Bugs!$J$5:$J$303,A16,Bugs!$O$5:$O$303,"Reopened")</f>
        <v>0</v>
      </c>
      <c r="G16" s="8" t="n">
        <f aca="false">COUNTIFS(Bugs!$J$5:$J$303,A16,Bugs!$O$5:$O$303,"Won't fix")+COUNTIFS(Bugs!$J$5:$J$303,A16,Bugs!$O$5:$O$303,"Duplicate")+COUNTIFS(Bugs!$J$5:$J$303,A16,Bugs!$O$5:$O$303,"Not a bug")</f>
        <v>0</v>
      </c>
      <c r="H16" s="8" t="n">
        <f aca="false">COUNTIFS(Bugs!$J$5:$J$303,A16,Bugs!$O$5:$O$303,"Needs info")</f>
        <v>0</v>
      </c>
    </row>
    <row r="17" customFormat="false" ht="15" hidden="false" customHeight="false" outlineLevel="0" collapsed="false">
      <c r="A17" s="8" t="s">
        <v>54</v>
      </c>
      <c r="B17" s="8" t="n">
        <f aca="false">COUNTIF(Bugs!$J$5:$J$303,A17)</f>
        <v>0</v>
      </c>
      <c r="C17" s="8" t="n">
        <f aca="false">B17-E17-G17</f>
        <v>0</v>
      </c>
      <c r="D17" s="8" t="n">
        <f aca="false">COUNTIFS(Bugs!$J$5:$J$303,A17,Bugs!$O$5:$O$303,"Fixed: ready to retest")</f>
        <v>0</v>
      </c>
      <c r="E17" s="8" t="n">
        <f aca="false">COUNTIFS(Bugs!$J$5:$J$303,A17,Bugs!$O$5:$O$303,"Closed")</f>
        <v>0</v>
      </c>
      <c r="F17" s="8" t="n">
        <f aca="false">COUNTIFS(Bugs!$J$5:$J$303,A17,Bugs!$O$5:$O$303,"Reopened")</f>
        <v>0</v>
      </c>
      <c r="G17" s="8" t="n">
        <f aca="false">COUNTIFS(Bugs!$J$5:$J$303,A17,Bugs!$O$5:$O$303,"Won't fix")+COUNTIFS(Bugs!$J$5:$J$303,A17,Bugs!$O$5:$O$303,"Duplicate")+COUNTIFS(Bugs!$J$5:$J$303,A17,Bugs!$O$5:$O$303,"Not a bug")</f>
        <v>0</v>
      </c>
      <c r="H17" s="8" t="n">
        <f aca="false">COUNTIFS(Bugs!$J$5:$J$303,A17,Bugs!$O$5:$O$303,"Needs info")</f>
        <v>0</v>
      </c>
    </row>
    <row r="18" customFormat="false" ht="15" hidden="false" customHeight="false" outlineLevel="0" collapsed="false">
      <c r="A18" s="8" t="s">
        <v>55</v>
      </c>
      <c r="B18" s="8" t="n">
        <f aca="false">COUNTIF(Bugs!$J$5:$J$303,A18)</f>
        <v>0</v>
      </c>
      <c r="C18" s="8" t="n">
        <f aca="false">B18-E18-G18</f>
        <v>0</v>
      </c>
      <c r="D18" s="8" t="n">
        <f aca="false">COUNTIFS(Bugs!$J$5:$J$303,A18,Bugs!$O$5:$O$303,"Fixed: ready to retest")</f>
        <v>0</v>
      </c>
      <c r="E18" s="8" t="n">
        <f aca="false">COUNTIFS(Bugs!$J$5:$J$303,A18,Bugs!$O$5:$O$303,"Closed")</f>
        <v>0</v>
      </c>
      <c r="F18" s="8" t="n">
        <f aca="false">COUNTIFS(Bugs!$J$5:$J$303,A18,Bugs!$O$5:$O$303,"Reopened")</f>
        <v>0</v>
      </c>
      <c r="G18" s="8" t="n">
        <f aca="false">COUNTIFS(Bugs!$J$5:$J$303,A18,Bugs!$O$5:$O$303,"Won't fix")+COUNTIFS(Bugs!$J$5:$J$303,A18,Bugs!$O$5:$O$303,"Duplicate")+COUNTIFS(Bugs!$J$5:$J$303,A18,Bugs!$O$5:$O$303,"Not a bug")</f>
        <v>0</v>
      </c>
      <c r="H18" s="8" t="n">
        <f aca="false">COUNTIFS(Bugs!$J$5:$J$303,A18,Bugs!$O$5:$O$303,"Needs info")</f>
        <v>0</v>
      </c>
    </row>
    <row r="19" customFormat="false" ht="15" hidden="false" customHeight="false" outlineLevel="0" collapsed="false">
      <c r="A19" s="8" t="s">
        <v>56</v>
      </c>
      <c r="B19" s="8" t="n">
        <f aca="false">COUNTIF(Bugs!$J$5:$J$303,A19)</f>
        <v>0</v>
      </c>
      <c r="C19" s="8" t="n">
        <f aca="false">B19-E19-G19</f>
        <v>0</v>
      </c>
      <c r="D19" s="8" t="n">
        <f aca="false">COUNTIFS(Bugs!$J$5:$J$303,A19,Bugs!$O$5:$O$303,"Fixed: ready to retest")</f>
        <v>0</v>
      </c>
      <c r="E19" s="8" t="n">
        <f aca="false">COUNTIFS(Bugs!$J$5:$J$303,A19,Bugs!$O$5:$O$303,"Closed")</f>
        <v>0</v>
      </c>
      <c r="F19" s="8" t="n">
        <f aca="false">COUNTIFS(Bugs!$J$5:$J$303,A19,Bugs!$O$5:$O$303,"Reopened")</f>
        <v>0</v>
      </c>
      <c r="G19" s="8" t="n">
        <f aca="false">COUNTIFS(Bugs!$J$5:$J$303,A19,Bugs!$O$5:$O$303,"Won't fix")+COUNTIFS(Bugs!$J$5:$J$303,A19,Bugs!$O$5:$O$303,"Duplicate")+COUNTIFS(Bugs!$J$5:$J$303,A19,Bugs!$O$5:$O$303,"Not a bug")</f>
        <v>0</v>
      </c>
      <c r="H19" s="8" t="n">
        <f aca="false">COUNTIFS(Bugs!$J$5:$J$303,A19,Bugs!$O$5:$O$303,"Needs info")</f>
        <v>0</v>
      </c>
    </row>
    <row r="20" customFormat="false" ht="15" hidden="false" customHeight="false" outlineLevel="0" collapsed="false">
      <c r="A20" s="10" t="s">
        <v>44</v>
      </c>
      <c r="B20" s="10" t="n">
        <f aca="false">SUM(B16:B19)</f>
        <v>0</v>
      </c>
      <c r="C20" s="10" t="n">
        <f aca="false">SUM(C16:C19)</f>
        <v>0</v>
      </c>
      <c r="D20" s="10" t="n">
        <f aca="false">SUM(D16:D19)</f>
        <v>0</v>
      </c>
      <c r="E20" s="10" t="n">
        <f aca="false">SUM(E16:E19)</f>
        <v>0</v>
      </c>
      <c r="F20" s="10" t="n">
        <f aca="false">SUM(F16:F19)</f>
        <v>0</v>
      </c>
      <c r="G20" s="10" t="n">
        <f aca="false">SUM(G16:G19)</f>
        <v>0</v>
      </c>
      <c r="H20" s="10" t="n">
        <f aca="false">SUM(H16:H19)</f>
        <v>0</v>
      </c>
    </row>
    <row r="21" customFormat="false" ht="15" hidden="false" customHeight="false" outlineLevel="0" collapsed="false">
      <c r="A21" s="12" t="s">
        <v>57</v>
      </c>
    </row>
    <row r="24" customFormat="false" ht="30" hidden="false" customHeight="true" outlineLevel="0" collapsed="false">
      <c r="A24" s="7" t="s">
        <v>58</v>
      </c>
      <c r="B24" s="7" t="s">
        <v>59</v>
      </c>
      <c r="C24" s="7" t="s">
        <v>60</v>
      </c>
      <c r="D24" s="7"/>
      <c r="E24" s="7"/>
      <c r="F24" s="7"/>
      <c r="G24" s="7"/>
      <c r="H24" s="7"/>
      <c r="I24" s="7"/>
    </row>
    <row r="25" customFormat="false" ht="15" hidden="false" customHeight="false" outlineLevel="0" collapsed="false">
      <c r="A25" s="8" t="s">
        <v>61</v>
      </c>
      <c r="B25" s="9" t="n">
        <v>1</v>
      </c>
      <c r="C25" s="9" t="n">
        <f aca="false">I12</f>
        <v>0</v>
      </c>
    </row>
    <row r="26" customFormat="false" ht="15" hidden="false" customHeight="false" outlineLevel="0" collapsed="false">
      <c r="A26" s="8" t="s">
        <v>62</v>
      </c>
      <c r="B26" s="9" t="n">
        <v>0.02</v>
      </c>
      <c r="C26" s="9" t="n">
        <f aca="false">IF(B12=0,0,G12/B12)</f>
        <v>0</v>
      </c>
    </row>
    <row r="27" customFormat="false" ht="23.85" hidden="false" customHeight="false" outlineLevel="0" collapsed="false">
      <c r="A27" s="8" t="s">
        <v>63</v>
      </c>
      <c r="B27" s="9" t="n">
        <v>0.9</v>
      </c>
      <c r="C27" s="9" t="str">
        <f aca="false">IF(COUNTA(Bugs!$A$5:$A$303)=0,"",COUNTIF(Bugs!$T$5:$T$303,"No")/COUNTA(Bugs!$A$5:$A$303))</f>
        <v/>
      </c>
    </row>
    <row r="28" customFormat="false" ht="15" hidden="false" customHeight="false" outlineLevel="0" collapsed="false">
      <c r="A28" s="8" t="s">
        <v>64</v>
      </c>
      <c r="B28" s="9" t="n">
        <v>0.9</v>
      </c>
      <c r="C28" s="9" t="str">
        <f aca="false">IF(COUNTA(Bugs!$A$5:$A$303)=0,"",1-(COUNTIF(Bugs!$O$5:$O$303,"Duplicate")+COUNTIF(Bugs!$O$5:$O$303,"Not a bug"))/COUNTA(Bugs!$A$5:$A$303))</f>
        <v/>
      </c>
    </row>
    <row r="29" customFormat="false" ht="15" hidden="false" customHeight="false" outlineLevel="0" collapsed="false">
      <c r="A29" s="8" t="s">
        <v>65</v>
      </c>
      <c r="B29" s="9" t="n">
        <v>1</v>
      </c>
      <c r="C29" s="9" t="str">
        <f aca="false">IF(COUNTIF(Bugs!$J$5:$J$303,"S1")=0,"",COUNTIFS(Bugs!$J$5:$J$303,"S1",Bugs!$U$5:$U$303,"Yes")/COUNTIF(Bugs!$J$5:$J$303,"S1"))</f>
        <v/>
      </c>
    </row>
    <row r="30" customFormat="false" ht="15" hidden="false" customHeight="false" outlineLevel="0" collapsed="false">
      <c r="A30" s="8" t="s">
        <v>66</v>
      </c>
      <c r="B30" s="9" t="n">
        <v>0.95</v>
      </c>
      <c r="C30" s="9" t="str">
        <f aca="false">IF(COUNT(Bugs!$V$5:$V$303)=0,"",COUNTIF(Bugs!$V$5:$V$303,"&lt;=1")/COUNT(Bugs!$V$5:$V$303))</f>
        <v/>
      </c>
    </row>
    <row r="31" customFormat="false" ht="15" hidden="false" customHeight="false" outlineLevel="0" collapsed="false">
      <c r="A31" s="8" t="s">
        <v>67</v>
      </c>
      <c r="B31" s="9" t="n">
        <v>1</v>
      </c>
      <c r="C31" s="9" t="str">
        <f aca="false">IF(COUNTA('Daily log'!$Q$4:$Q$23)=0,"",COUNTIF('Daily log'!$Q$4:$Q$23,"Yes")/COUNTA('Daily log'!$Q$4:$Q$23))</f>
        <v/>
      </c>
    </row>
    <row r="32" customFormat="false" ht="15" hidden="false" customHeight="false" outlineLevel="0" collapsed="false">
      <c r="A32" s="8" t="s">
        <v>68</v>
      </c>
      <c r="B32" s="8" t="n">
        <v>5</v>
      </c>
      <c r="C32" s="8" t="n">
        <f aca="false">COUNT(Exploratory!$E$4:$E$13)</f>
        <v>0</v>
      </c>
    </row>
    <row r="33" customFormat="false" ht="15" hidden="false" customHeight="false" outlineLevel="0" collapsed="false">
      <c r="A33" s="12" t="s">
        <v>69</v>
      </c>
    </row>
    <row r="36" customFormat="false" ht="30" hidden="false" customHeight="true" outlineLevel="0" collapsed="false">
      <c r="A36" s="7" t="s">
        <v>70</v>
      </c>
      <c r="B36" s="7" t="s">
        <v>71</v>
      </c>
      <c r="C36" s="7" t="s">
        <v>72</v>
      </c>
      <c r="D36" s="7" t="s">
        <v>73</v>
      </c>
      <c r="E36" s="7" t="s">
        <v>30</v>
      </c>
      <c r="F36" s="7" t="s">
        <v>32</v>
      </c>
      <c r="G36" s="7" t="s">
        <v>33</v>
      </c>
      <c r="H36" s="7" t="s">
        <v>34</v>
      </c>
      <c r="I36" s="7" t="s">
        <v>36</v>
      </c>
    </row>
    <row r="37" customFormat="false" ht="23.85" hidden="false" customHeight="false" outlineLevel="0" collapsed="false">
      <c r="A37" s="8" t="s">
        <v>74</v>
      </c>
      <c r="B37" s="13" t="n">
        <f aca="false">'Daily log'!B4</f>
        <v>46328</v>
      </c>
      <c r="C37" s="8" t="n">
        <f aca="false">'Daily log'!C4</f>
        <v>8</v>
      </c>
      <c r="D37" s="8" t="n">
        <f aca="false">'Daily log'!D4</f>
        <v>0</v>
      </c>
      <c r="E37" s="8" t="n">
        <f aca="false">'Daily log'!E4</f>
        <v>0</v>
      </c>
      <c r="F37" s="8" t="n">
        <f aca="false">'Daily log'!F4</f>
        <v>0</v>
      </c>
      <c r="G37" s="8" t="n">
        <f aca="false">'Daily log'!G4</f>
        <v>0</v>
      </c>
      <c r="H37" s="8" t="n">
        <f aca="false">'Daily log'!H4</f>
        <v>0</v>
      </c>
      <c r="I37" s="9" t="n">
        <f aca="false">IF(C37=0,0,(E37+F37+G37)/C37)</f>
        <v>0</v>
      </c>
    </row>
    <row r="38" customFormat="false" ht="15" hidden="false" customHeight="false" outlineLevel="0" collapsed="false">
      <c r="A38" s="8" t="s">
        <v>75</v>
      </c>
      <c r="B38" s="13" t="n">
        <f aca="false">'Daily log'!B5</f>
        <v>46329</v>
      </c>
      <c r="C38" s="8" t="n">
        <f aca="false">'Daily log'!C5</f>
        <v>18</v>
      </c>
      <c r="D38" s="8" t="n">
        <f aca="false">'Daily log'!D5</f>
        <v>0</v>
      </c>
      <c r="E38" s="8" t="n">
        <f aca="false">'Daily log'!E5</f>
        <v>0</v>
      </c>
      <c r="F38" s="8" t="n">
        <f aca="false">'Daily log'!F5</f>
        <v>0</v>
      </c>
      <c r="G38" s="8" t="n">
        <f aca="false">'Daily log'!G5</f>
        <v>0</v>
      </c>
      <c r="H38" s="8" t="n">
        <f aca="false">'Daily log'!H5</f>
        <v>0</v>
      </c>
      <c r="I38" s="9" t="n">
        <f aca="false">IF(C38=0,0,(E38+F38+G38)/C38)</f>
        <v>0</v>
      </c>
    </row>
    <row r="39" customFormat="false" ht="23.85" hidden="false" customHeight="false" outlineLevel="0" collapsed="false">
      <c r="A39" s="8" t="s">
        <v>76</v>
      </c>
      <c r="B39" s="13" t="n">
        <f aca="false">'Daily log'!B6</f>
        <v>46330</v>
      </c>
      <c r="C39" s="8" t="n">
        <f aca="false">'Daily log'!C6</f>
        <v>17</v>
      </c>
      <c r="D39" s="8" t="n">
        <f aca="false">'Daily log'!D6</f>
        <v>0</v>
      </c>
      <c r="E39" s="8" t="n">
        <f aca="false">'Daily log'!E6</f>
        <v>0</v>
      </c>
      <c r="F39" s="8" t="n">
        <f aca="false">'Daily log'!F6</f>
        <v>0</v>
      </c>
      <c r="G39" s="8" t="n">
        <f aca="false">'Daily log'!G6</f>
        <v>0</v>
      </c>
      <c r="H39" s="8" t="n">
        <f aca="false">'Daily log'!H6</f>
        <v>0</v>
      </c>
      <c r="I39" s="9" t="n">
        <f aca="false">IF(C39=0,0,(E39+F39+G39)/C39)</f>
        <v>0</v>
      </c>
    </row>
    <row r="40" customFormat="false" ht="15" hidden="false" customHeight="false" outlineLevel="0" collapsed="false">
      <c r="A40" s="8" t="s">
        <v>77</v>
      </c>
      <c r="B40" s="13" t="n">
        <f aca="false">'Daily log'!B7</f>
        <v>46331</v>
      </c>
      <c r="C40" s="8" t="n">
        <f aca="false">'Daily log'!C7</f>
        <v>16</v>
      </c>
      <c r="D40" s="8" t="n">
        <f aca="false">'Daily log'!D7</f>
        <v>0</v>
      </c>
      <c r="E40" s="8" t="n">
        <f aca="false">'Daily log'!E7</f>
        <v>0</v>
      </c>
      <c r="F40" s="8" t="n">
        <f aca="false">'Daily log'!F7</f>
        <v>0</v>
      </c>
      <c r="G40" s="8" t="n">
        <f aca="false">'Daily log'!G7</f>
        <v>0</v>
      </c>
      <c r="H40" s="8" t="n">
        <f aca="false">'Daily log'!H7</f>
        <v>0</v>
      </c>
      <c r="I40" s="9" t="n">
        <f aca="false">IF(C40=0,0,(E40+F40+G40)/C40)</f>
        <v>0</v>
      </c>
    </row>
    <row r="41" customFormat="false" ht="15" hidden="false" customHeight="false" outlineLevel="0" collapsed="false">
      <c r="A41" s="8" t="s">
        <v>78</v>
      </c>
      <c r="B41" s="13" t="n">
        <f aca="false">'Daily log'!B8</f>
        <v>46332</v>
      </c>
      <c r="C41" s="8" t="n">
        <f aca="false">'Daily log'!C8</f>
        <v>19</v>
      </c>
      <c r="D41" s="8" t="n">
        <f aca="false">'Daily log'!D8</f>
        <v>0</v>
      </c>
      <c r="E41" s="8" t="n">
        <f aca="false">'Daily log'!E8</f>
        <v>0</v>
      </c>
      <c r="F41" s="8" t="n">
        <f aca="false">'Daily log'!F8</f>
        <v>0</v>
      </c>
      <c r="G41" s="8" t="n">
        <f aca="false">'Daily log'!G8</f>
        <v>0</v>
      </c>
      <c r="H41" s="8" t="n">
        <f aca="false">'Daily log'!H8</f>
        <v>0</v>
      </c>
      <c r="I41" s="9" t="n">
        <f aca="false">IF(C41=0,0,(E41+F41+G41)/C41)</f>
        <v>0</v>
      </c>
    </row>
    <row r="42" customFormat="false" ht="23.85" hidden="false" customHeight="false" outlineLevel="0" collapsed="false">
      <c r="A42" s="8" t="s">
        <v>79</v>
      </c>
      <c r="B42" s="13" t="n">
        <f aca="false">'Daily log'!B9</f>
        <v>46335</v>
      </c>
      <c r="C42" s="8" t="n">
        <f aca="false">'Daily log'!C9</f>
        <v>26</v>
      </c>
      <c r="D42" s="8" t="n">
        <f aca="false">'Daily log'!D9</f>
        <v>0</v>
      </c>
      <c r="E42" s="8" t="n">
        <f aca="false">'Daily log'!E9</f>
        <v>0</v>
      </c>
      <c r="F42" s="8" t="n">
        <f aca="false">'Daily log'!F9</f>
        <v>0</v>
      </c>
      <c r="G42" s="8" t="n">
        <f aca="false">'Daily log'!G9</f>
        <v>0</v>
      </c>
      <c r="H42" s="8" t="n">
        <f aca="false">'Daily log'!H9</f>
        <v>0</v>
      </c>
      <c r="I42" s="9" t="n">
        <f aca="false">IF(C42=0,0,(E42+F42+G42)/C42)</f>
        <v>0</v>
      </c>
    </row>
    <row r="43" customFormat="false" ht="23.85" hidden="false" customHeight="false" outlineLevel="0" collapsed="false">
      <c r="A43" s="8" t="s">
        <v>80</v>
      </c>
      <c r="B43" s="13" t="n">
        <f aca="false">'Daily log'!B10</f>
        <v>46336</v>
      </c>
      <c r="C43" s="8" t="n">
        <f aca="false">'Daily log'!C10</f>
        <v>26</v>
      </c>
      <c r="D43" s="8" t="n">
        <f aca="false">'Daily log'!D10</f>
        <v>0</v>
      </c>
      <c r="E43" s="8" t="n">
        <f aca="false">'Daily log'!E10</f>
        <v>0</v>
      </c>
      <c r="F43" s="8" t="n">
        <f aca="false">'Daily log'!F10</f>
        <v>0</v>
      </c>
      <c r="G43" s="8" t="n">
        <f aca="false">'Daily log'!G10</f>
        <v>0</v>
      </c>
      <c r="H43" s="8" t="n">
        <f aca="false">'Daily log'!H10</f>
        <v>0</v>
      </c>
      <c r="I43" s="9" t="n">
        <f aca="false">IF(C43=0,0,(E43+F43+G43)/C43)</f>
        <v>0</v>
      </c>
    </row>
    <row r="44" customFormat="false" ht="23.85" hidden="false" customHeight="false" outlineLevel="0" collapsed="false">
      <c r="A44" s="8" t="s">
        <v>81</v>
      </c>
      <c r="B44" s="13" t="n">
        <f aca="false">'Daily log'!B11</f>
        <v>46337</v>
      </c>
      <c r="C44" s="8" t="n">
        <f aca="false">'Daily log'!C11</f>
        <v>26</v>
      </c>
      <c r="D44" s="8" t="n">
        <f aca="false">'Daily log'!D11</f>
        <v>0</v>
      </c>
      <c r="E44" s="8" t="n">
        <f aca="false">'Daily log'!E11</f>
        <v>0</v>
      </c>
      <c r="F44" s="8" t="n">
        <f aca="false">'Daily log'!F11</f>
        <v>0</v>
      </c>
      <c r="G44" s="8" t="n">
        <f aca="false">'Daily log'!G11</f>
        <v>0</v>
      </c>
      <c r="H44" s="8" t="n">
        <f aca="false">'Daily log'!H11</f>
        <v>0</v>
      </c>
      <c r="I44" s="9" t="n">
        <f aca="false">IF(C44=0,0,(E44+F44+G44)/C44)</f>
        <v>0</v>
      </c>
    </row>
    <row r="45" customFormat="false" ht="23.85" hidden="false" customHeight="false" outlineLevel="0" collapsed="false">
      <c r="A45" s="8" t="s">
        <v>82</v>
      </c>
      <c r="B45" s="13" t="n">
        <f aca="false">'Daily log'!B12</f>
        <v>46338</v>
      </c>
      <c r="C45" s="8" t="n">
        <f aca="false">'Daily log'!C12</f>
        <v>21</v>
      </c>
      <c r="D45" s="8" t="n">
        <f aca="false">'Daily log'!D12</f>
        <v>0</v>
      </c>
      <c r="E45" s="8" t="n">
        <f aca="false">'Daily log'!E12</f>
        <v>0</v>
      </c>
      <c r="F45" s="8" t="n">
        <f aca="false">'Daily log'!F12</f>
        <v>0</v>
      </c>
      <c r="G45" s="8" t="n">
        <f aca="false">'Daily log'!G12</f>
        <v>0</v>
      </c>
      <c r="H45" s="8" t="n">
        <f aca="false">'Daily log'!H12</f>
        <v>0</v>
      </c>
      <c r="I45" s="9" t="n">
        <f aca="false">IF(C45=0,0,(E45+F45+G45)/C45)</f>
        <v>0</v>
      </c>
    </row>
    <row r="46" customFormat="false" ht="15" hidden="false" customHeight="false" outlineLevel="0" collapsed="false">
      <c r="A46" s="8" t="s">
        <v>83</v>
      </c>
      <c r="B46" s="13" t="n">
        <f aca="false">'Daily log'!B13</f>
        <v>46339</v>
      </c>
      <c r="C46" s="8" t="n">
        <f aca="false">'Daily log'!C13</f>
        <v>16</v>
      </c>
      <c r="D46" s="8" t="n">
        <f aca="false">'Daily log'!D13</f>
        <v>0</v>
      </c>
      <c r="E46" s="8" t="n">
        <f aca="false">'Daily log'!E13</f>
        <v>0</v>
      </c>
      <c r="F46" s="8" t="n">
        <f aca="false">'Daily log'!F13</f>
        <v>0</v>
      </c>
      <c r="G46" s="8" t="n">
        <f aca="false">'Daily log'!G13</f>
        <v>0</v>
      </c>
      <c r="H46" s="8" t="n">
        <f aca="false">'Daily log'!H13</f>
        <v>0</v>
      </c>
      <c r="I46" s="9" t="n">
        <f aca="false">IF(C46=0,0,(E46+F46+G46)/C46)</f>
        <v>0</v>
      </c>
    </row>
    <row r="47" customFormat="false" ht="23.85" hidden="false" customHeight="false" outlineLevel="0" collapsed="false">
      <c r="A47" s="8" t="s">
        <v>84</v>
      </c>
      <c r="B47" s="13" t="n">
        <f aca="false">'Daily log'!B14</f>
        <v>46342</v>
      </c>
      <c r="C47" s="8" t="n">
        <f aca="false">'Daily log'!C14</f>
        <v>19</v>
      </c>
      <c r="D47" s="8" t="n">
        <f aca="false">'Daily log'!D14</f>
        <v>0</v>
      </c>
      <c r="E47" s="8" t="n">
        <f aca="false">'Daily log'!E14</f>
        <v>0</v>
      </c>
      <c r="F47" s="8" t="n">
        <f aca="false">'Daily log'!F14</f>
        <v>0</v>
      </c>
      <c r="G47" s="8" t="n">
        <f aca="false">'Daily log'!G14</f>
        <v>0</v>
      </c>
      <c r="H47" s="8" t="n">
        <f aca="false">'Daily log'!H14</f>
        <v>0</v>
      </c>
      <c r="I47" s="9" t="n">
        <f aca="false">IF(C47=0,0,(E47+F47+G47)/C47)</f>
        <v>0</v>
      </c>
    </row>
    <row r="48" customFormat="false" ht="23.85" hidden="false" customHeight="false" outlineLevel="0" collapsed="false">
      <c r="A48" s="8" t="s">
        <v>85</v>
      </c>
      <c r="B48" s="13" t="n">
        <f aca="false">'Daily log'!B15</f>
        <v>46343</v>
      </c>
      <c r="C48" s="8" t="n">
        <f aca="false">'Daily log'!C15</f>
        <v>25</v>
      </c>
      <c r="D48" s="8" t="n">
        <f aca="false">'Daily log'!D15</f>
        <v>0</v>
      </c>
      <c r="E48" s="8" t="n">
        <f aca="false">'Daily log'!E15</f>
        <v>0</v>
      </c>
      <c r="F48" s="8" t="n">
        <f aca="false">'Daily log'!F15</f>
        <v>0</v>
      </c>
      <c r="G48" s="8" t="n">
        <f aca="false">'Daily log'!G15</f>
        <v>0</v>
      </c>
      <c r="H48" s="8" t="n">
        <f aca="false">'Daily log'!H15</f>
        <v>0</v>
      </c>
      <c r="I48" s="9" t="n">
        <f aca="false">IF(C48=0,0,(E48+F48+G48)/C48)</f>
        <v>0</v>
      </c>
    </row>
    <row r="49" customFormat="false" ht="23.85" hidden="false" customHeight="false" outlineLevel="0" collapsed="false">
      <c r="A49" s="8" t="s">
        <v>86</v>
      </c>
      <c r="B49" s="13" t="n">
        <f aca="false">'Daily log'!B16</f>
        <v>46344</v>
      </c>
      <c r="C49" s="8" t="n">
        <f aca="false">'Daily log'!C16</f>
        <v>18</v>
      </c>
      <c r="D49" s="8" t="n">
        <f aca="false">'Daily log'!D16</f>
        <v>0</v>
      </c>
      <c r="E49" s="8" t="n">
        <f aca="false">'Daily log'!E16</f>
        <v>0</v>
      </c>
      <c r="F49" s="8" t="n">
        <f aca="false">'Daily log'!F16</f>
        <v>0</v>
      </c>
      <c r="G49" s="8" t="n">
        <f aca="false">'Daily log'!G16</f>
        <v>0</v>
      </c>
      <c r="H49" s="8" t="n">
        <f aca="false">'Daily log'!H16</f>
        <v>0</v>
      </c>
      <c r="I49" s="9" t="n">
        <f aca="false">IF(C49=0,0,(E49+F49+G49)/C49)</f>
        <v>0</v>
      </c>
    </row>
    <row r="50" customFormat="false" ht="23.85" hidden="false" customHeight="false" outlineLevel="0" collapsed="false">
      <c r="A50" s="8" t="s">
        <v>87</v>
      </c>
      <c r="B50" s="13" t="n">
        <f aca="false">'Daily log'!B17</f>
        <v>46345</v>
      </c>
      <c r="C50" s="8" t="n">
        <f aca="false">'Daily log'!C17</f>
        <v>14</v>
      </c>
      <c r="D50" s="8" t="n">
        <f aca="false">'Daily log'!D17</f>
        <v>0</v>
      </c>
      <c r="E50" s="8" t="n">
        <f aca="false">'Daily log'!E17</f>
        <v>0</v>
      </c>
      <c r="F50" s="8" t="n">
        <f aca="false">'Daily log'!F17</f>
        <v>0</v>
      </c>
      <c r="G50" s="8" t="n">
        <f aca="false">'Daily log'!G17</f>
        <v>0</v>
      </c>
      <c r="H50" s="8" t="n">
        <f aca="false">'Daily log'!H17</f>
        <v>0</v>
      </c>
      <c r="I50" s="9" t="n">
        <f aca="false">IF(C50=0,0,(E50+F50+G50)/C50)</f>
        <v>0</v>
      </c>
    </row>
    <row r="51" customFormat="false" ht="15" hidden="false" customHeight="false" outlineLevel="0" collapsed="false">
      <c r="A51" s="8" t="s">
        <v>88</v>
      </c>
      <c r="B51" s="13" t="n">
        <f aca="false">'Daily log'!B18</f>
        <v>46346</v>
      </c>
      <c r="C51" s="8" t="n">
        <f aca="false">'Daily log'!C18</f>
        <v>7</v>
      </c>
      <c r="D51" s="8" t="n">
        <f aca="false">'Daily log'!D18</f>
        <v>0</v>
      </c>
      <c r="E51" s="8" t="n">
        <f aca="false">'Daily log'!E18</f>
        <v>0</v>
      </c>
      <c r="F51" s="8" t="n">
        <f aca="false">'Daily log'!F18</f>
        <v>0</v>
      </c>
      <c r="G51" s="8" t="n">
        <f aca="false">'Daily log'!G18</f>
        <v>0</v>
      </c>
      <c r="H51" s="8" t="n">
        <f aca="false">'Daily log'!H18</f>
        <v>0</v>
      </c>
      <c r="I51" s="9" t="n">
        <f aca="false">IF(C51=0,0,(E51+F51+G51)/C51)</f>
        <v>0</v>
      </c>
    </row>
    <row r="52" customFormat="false" ht="23.85" hidden="false" customHeight="false" outlineLevel="0" collapsed="false">
      <c r="A52" s="8" t="s">
        <v>89</v>
      </c>
      <c r="B52" s="13" t="n">
        <f aca="false">'Daily log'!B19</f>
        <v>46349</v>
      </c>
      <c r="C52" s="8" t="n">
        <f aca="false">'Daily log'!C19</f>
        <v>25</v>
      </c>
      <c r="D52" s="8" t="n">
        <f aca="false">'Daily log'!D19</f>
        <v>0</v>
      </c>
      <c r="E52" s="8" t="n">
        <f aca="false">'Daily log'!E19</f>
        <v>0</v>
      </c>
      <c r="F52" s="8" t="n">
        <f aca="false">'Daily log'!F19</f>
        <v>0</v>
      </c>
      <c r="G52" s="8" t="n">
        <f aca="false">'Daily log'!G19</f>
        <v>0</v>
      </c>
      <c r="H52" s="8" t="n">
        <f aca="false">'Daily log'!H19</f>
        <v>0</v>
      </c>
      <c r="I52" s="9" t="n">
        <f aca="false">IF(C52=0,0,(E52+F52+G52)/C52)</f>
        <v>0</v>
      </c>
    </row>
    <row r="53" customFormat="false" ht="23.85" hidden="false" customHeight="false" outlineLevel="0" collapsed="false">
      <c r="A53" s="8" t="s">
        <v>90</v>
      </c>
      <c r="B53" s="13" t="n">
        <f aca="false">'Daily log'!B20</f>
        <v>46350</v>
      </c>
      <c r="C53" s="8" t="n">
        <f aca="false">'Daily log'!C20</f>
        <v>26</v>
      </c>
      <c r="D53" s="8" t="n">
        <f aca="false">'Daily log'!D20</f>
        <v>0</v>
      </c>
      <c r="E53" s="8" t="n">
        <f aca="false">'Daily log'!E20</f>
        <v>0</v>
      </c>
      <c r="F53" s="8" t="n">
        <f aca="false">'Daily log'!F20</f>
        <v>0</v>
      </c>
      <c r="G53" s="8" t="n">
        <f aca="false">'Daily log'!G20</f>
        <v>0</v>
      </c>
      <c r="H53" s="8" t="n">
        <f aca="false">'Daily log'!H20</f>
        <v>0</v>
      </c>
      <c r="I53" s="9" t="n">
        <f aca="false">IF(C53=0,0,(E53+F53+G53)/C53)</f>
        <v>0</v>
      </c>
    </row>
    <row r="54" customFormat="false" ht="23.85" hidden="false" customHeight="false" outlineLevel="0" collapsed="false">
      <c r="A54" s="8" t="s">
        <v>91</v>
      </c>
      <c r="B54" s="13" t="n">
        <f aca="false">'Daily log'!B21</f>
        <v>46351</v>
      </c>
      <c r="C54" s="8" t="n">
        <f aca="false">'Daily log'!C21</f>
        <v>22</v>
      </c>
      <c r="D54" s="8" t="n">
        <f aca="false">'Daily log'!D21</f>
        <v>0</v>
      </c>
      <c r="E54" s="8" t="n">
        <f aca="false">'Daily log'!E21</f>
        <v>0</v>
      </c>
      <c r="F54" s="8" t="n">
        <f aca="false">'Daily log'!F21</f>
        <v>0</v>
      </c>
      <c r="G54" s="8" t="n">
        <f aca="false">'Daily log'!G21</f>
        <v>0</v>
      </c>
      <c r="H54" s="8" t="n">
        <f aca="false">'Daily log'!H21</f>
        <v>0</v>
      </c>
      <c r="I54" s="9" t="n">
        <f aca="false">IF(C54=0,0,(E54+F54+G54)/C54)</f>
        <v>0</v>
      </c>
    </row>
    <row r="55" customFormat="false" ht="23.85" hidden="false" customHeight="false" outlineLevel="0" collapsed="false">
      <c r="A55" s="8" t="s">
        <v>92</v>
      </c>
      <c r="B55" s="13" t="n">
        <f aca="false">'Daily log'!B22</f>
        <v>46352</v>
      </c>
      <c r="C55" s="8" t="n">
        <f aca="false">'Daily log'!C22</f>
        <v>23</v>
      </c>
      <c r="D55" s="8" t="n">
        <f aca="false">'Daily log'!D22</f>
        <v>0</v>
      </c>
      <c r="E55" s="8" t="n">
        <f aca="false">'Daily log'!E22</f>
        <v>0</v>
      </c>
      <c r="F55" s="8" t="n">
        <f aca="false">'Daily log'!F22</f>
        <v>0</v>
      </c>
      <c r="G55" s="8" t="n">
        <f aca="false">'Daily log'!G22</f>
        <v>0</v>
      </c>
      <c r="H55" s="8" t="n">
        <f aca="false">'Daily log'!H22</f>
        <v>0</v>
      </c>
      <c r="I55" s="9" t="n">
        <f aca="false">IF(C55=0,0,(E55+F55+G55)/C55)</f>
        <v>0</v>
      </c>
    </row>
    <row r="56" customFormat="false" ht="15" hidden="false" customHeight="false" outlineLevel="0" collapsed="false">
      <c r="A56" s="8" t="s">
        <v>93</v>
      </c>
      <c r="B56" s="13" t="n">
        <f aca="false">'Daily log'!B23</f>
        <v>46353</v>
      </c>
      <c r="C56" s="8" t="n">
        <f aca="false">'Daily log'!C23</f>
        <v>7</v>
      </c>
      <c r="D56" s="8" t="n">
        <f aca="false">'Daily log'!D23</f>
        <v>0</v>
      </c>
      <c r="E56" s="8" t="n">
        <f aca="false">'Daily log'!E23</f>
        <v>0</v>
      </c>
      <c r="F56" s="8" t="n">
        <f aca="false">'Daily log'!F23</f>
        <v>0</v>
      </c>
      <c r="G56" s="8" t="n">
        <f aca="false">'Daily log'!G23</f>
        <v>0</v>
      </c>
      <c r="H56" s="8" t="n">
        <f aca="false">'Daily log'!H23</f>
        <v>0</v>
      </c>
      <c r="I56" s="9" t="n">
        <f aca="false">IF(C56=0,0,(E56+F56+G56)/C56)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8"/>
    <col collapsed="false" customWidth="true" hidden="false" outlineLevel="0" max="4" min="4" style="0" width="48"/>
    <col collapsed="false" customWidth="true" hidden="false" outlineLevel="0" max="5" min="5" style="0" width="44"/>
    <col collapsed="false" customWidth="true" hidden="false" outlineLevel="0" max="6" min="6" style="0" width="16"/>
    <col collapsed="false" customWidth="true" hidden="false" outlineLevel="0" max="7" min="7" style="0" width="5"/>
    <col collapsed="false" customWidth="true" hidden="false" outlineLevel="0" max="8" min="8" style="0" width="11"/>
    <col collapsed="false" customWidth="true" hidden="false" outlineLevel="0" max="9" min="9" style="0" width="6"/>
    <col collapsed="false" customWidth="true" hidden="false" outlineLevel="0" max="10" min="10" style="0" width="13"/>
    <col collapsed="false" customWidth="true" hidden="false" outlineLevel="0" max="11" min="11" style="0" width="11"/>
    <col collapsed="false" customWidth="true" hidden="false" outlineLevel="0" max="12" min="12" style="0" width="16"/>
    <col collapsed="false" customWidth="true" hidden="false" outlineLevel="0" max="13" min="13" style="0" width="12"/>
    <col collapsed="false" customWidth="true" hidden="false" outlineLevel="0" max="14" min="14" style="0" width="30"/>
  </cols>
  <sheetData>
    <row r="1" customFormat="false" ht="30" hidden="false" customHeight="true" outlineLevel="0" collapsed="false">
      <c r="A1" s="7" t="s">
        <v>94</v>
      </c>
      <c r="B1" s="7" t="s">
        <v>95</v>
      </c>
      <c r="C1" s="7" t="s">
        <v>96</v>
      </c>
      <c r="D1" s="7" t="s">
        <v>97</v>
      </c>
      <c r="E1" s="7" t="s">
        <v>98</v>
      </c>
      <c r="F1" s="7" t="s">
        <v>99</v>
      </c>
      <c r="G1" s="7" t="s">
        <v>100</v>
      </c>
      <c r="H1" s="7" t="s">
        <v>101</v>
      </c>
      <c r="I1" s="7" t="s">
        <v>102</v>
      </c>
      <c r="J1" s="7" t="s">
        <v>103</v>
      </c>
      <c r="K1" s="7" t="s">
        <v>104</v>
      </c>
      <c r="L1" s="7" t="s">
        <v>105</v>
      </c>
      <c r="M1" s="7" t="s">
        <v>106</v>
      </c>
      <c r="N1" s="7" t="s">
        <v>107</v>
      </c>
    </row>
    <row r="2" customFormat="false" ht="23.85" hidden="false" customHeight="false" outlineLevel="0" collapsed="false">
      <c r="A2" s="8" t="s">
        <v>108</v>
      </c>
      <c r="B2" s="8" t="s">
        <v>37</v>
      </c>
      <c r="C2" s="8" t="s">
        <v>109</v>
      </c>
      <c r="D2" s="8" t="s">
        <v>110</v>
      </c>
      <c r="E2" s="8" t="s">
        <v>111</v>
      </c>
      <c r="F2" s="8"/>
      <c r="G2" s="8" t="n">
        <v>1</v>
      </c>
      <c r="H2" s="13" t="n">
        <v>46328</v>
      </c>
      <c r="I2" s="8" t="s">
        <v>23</v>
      </c>
      <c r="J2" s="14"/>
      <c r="K2" s="15"/>
      <c r="L2" s="14"/>
      <c r="M2" s="14"/>
      <c r="N2" s="14"/>
    </row>
    <row r="3" customFormat="false" ht="23.85" hidden="false" customHeight="false" outlineLevel="0" collapsed="false">
      <c r="A3" s="8" t="s">
        <v>112</v>
      </c>
      <c r="B3" s="8" t="s">
        <v>37</v>
      </c>
      <c r="C3" s="8" t="s">
        <v>109</v>
      </c>
      <c r="D3" s="8" t="s">
        <v>113</v>
      </c>
      <c r="E3" s="8" t="s">
        <v>114</v>
      </c>
      <c r="F3" s="8"/>
      <c r="G3" s="8" t="n">
        <v>1</v>
      </c>
      <c r="H3" s="13" t="n">
        <v>46328</v>
      </c>
      <c r="I3" s="8" t="s">
        <v>23</v>
      </c>
      <c r="J3" s="14"/>
      <c r="K3" s="15"/>
      <c r="L3" s="14"/>
      <c r="M3" s="14"/>
      <c r="N3" s="14"/>
    </row>
    <row r="4" customFormat="false" ht="23.85" hidden="false" customHeight="false" outlineLevel="0" collapsed="false">
      <c r="A4" s="8" t="s">
        <v>115</v>
      </c>
      <c r="B4" s="8" t="s">
        <v>37</v>
      </c>
      <c r="C4" s="8" t="s">
        <v>109</v>
      </c>
      <c r="D4" s="8" t="s">
        <v>116</v>
      </c>
      <c r="E4" s="8" t="s">
        <v>117</v>
      </c>
      <c r="F4" s="8"/>
      <c r="G4" s="8" t="n">
        <v>1</v>
      </c>
      <c r="H4" s="13" t="n">
        <v>46328</v>
      </c>
      <c r="I4" s="8"/>
      <c r="J4" s="14"/>
      <c r="K4" s="15"/>
      <c r="L4" s="14"/>
      <c r="M4" s="14"/>
      <c r="N4" s="14"/>
    </row>
    <row r="5" customFormat="false" ht="23.85" hidden="false" customHeight="false" outlineLevel="0" collapsed="false">
      <c r="A5" s="8" t="s">
        <v>118</v>
      </c>
      <c r="B5" s="8" t="s">
        <v>37</v>
      </c>
      <c r="C5" s="8" t="s">
        <v>109</v>
      </c>
      <c r="D5" s="8" t="s">
        <v>119</v>
      </c>
      <c r="E5" s="8" t="s">
        <v>120</v>
      </c>
      <c r="F5" s="8" t="s">
        <v>121</v>
      </c>
      <c r="G5" s="8" t="n">
        <v>1</v>
      </c>
      <c r="H5" s="13" t="n">
        <v>46328</v>
      </c>
      <c r="I5" s="8" t="s">
        <v>23</v>
      </c>
      <c r="J5" s="14"/>
      <c r="K5" s="15"/>
      <c r="L5" s="14"/>
      <c r="M5" s="14"/>
      <c r="N5" s="14"/>
    </row>
    <row r="6" customFormat="false" ht="15" hidden="false" customHeight="false" outlineLevel="0" collapsed="false">
      <c r="A6" s="8" t="s">
        <v>122</v>
      </c>
      <c r="B6" s="8" t="s">
        <v>37</v>
      </c>
      <c r="C6" s="8" t="s">
        <v>109</v>
      </c>
      <c r="D6" s="8" t="s">
        <v>123</v>
      </c>
      <c r="E6" s="8" t="s">
        <v>124</v>
      </c>
      <c r="F6" s="8" t="s">
        <v>125</v>
      </c>
      <c r="G6" s="8" t="n">
        <v>1</v>
      </c>
      <c r="H6" s="13" t="n">
        <v>46328</v>
      </c>
      <c r="I6" s="8"/>
      <c r="J6" s="14"/>
      <c r="K6" s="15"/>
      <c r="L6" s="14"/>
      <c r="M6" s="14"/>
      <c r="N6" s="14"/>
    </row>
    <row r="7" customFormat="false" ht="15" hidden="false" customHeight="false" outlineLevel="0" collapsed="false">
      <c r="A7" s="8" t="s">
        <v>126</v>
      </c>
      <c r="B7" s="8" t="s">
        <v>37</v>
      </c>
      <c r="C7" s="8" t="s">
        <v>109</v>
      </c>
      <c r="D7" s="8" t="s">
        <v>127</v>
      </c>
      <c r="E7" s="8" t="s">
        <v>128</v>
      </c>
      <c r="F7" s="8"/>
      <c r="G7" s="8" t="n">
        <v>1</v>
      </c>
      <c r="H7" s="13" t="n">
        <v>46328</v>
      </c>
      <c r="I7" s="8"/>
      <c r="J7" s="14"/>
      <c r="K7" s="15"/>
      <c r="L7" s="14"/>
      <c r="M7" s="14"/>
      <c r="N7" s="14"/>
    </row>
    <row r="8" customFormat="false" ht="23.85" hidden="false" customHeight="false" outlineLevel="0" collapsed="false">
      <c r="A8" s="8" t="s">
        <v>129</v>
      </c>
      <c r="B8" s="8" t="s">
        <v>37</v>
      </c>
      <c r="C8" s="8" t="s">
        <v>109</v>
      </c>
      <c r="D8" s="8" t="s">
        <v>130</v>
      </c>
      <c r="E8" s="8" t="s">
        <v>131</v>
      </c>
      <c r="F8" s="8" t="s">
        <v>121</v>
      </c>
      <c r="G8" s="8" t="n">
        <v>1</v>
      </c>
      <c r="H8" s="13" t="n">
        <v>46328</v>
      </c>
      <c r="I8" s="8" t="s">
        <v>23</v>
      </c>
      <c r="J8" s="14"/>
      <c r="K8" s="15"/>
      <c r="L8" s="14"/>
      <c r="M8" s="14"/>
      <c r="N8" s="14"/>
    </row>
    <row r="9" customFormat="false" ht="15" hidden="false" customHeight="false" outlineLevel="0" collapsed="false">
      <c r="A9" s="8" t="s">
        <v>132</v>
      </c>
      <c r="B9" s="8" t="s">
        <v>37</v>
      </c>
      <c r="C9" s="8" t="s">
        <v>109</v>
      </c>
      <c r="D9" s="8" t="s">
        <v>133</v>
      </c>
      <c r="E9" s="8" t="s">
        <v>134</v>
      </c>
      <c r="F9" s="8"/>
      <c r="G9" s="8" t="n">
        <v>1</v>
      </c>
      <c r="H9" s="13" t="n">
        <v>46328</v>
      </c>
      <c r="I9" s="8"/>
      <c r="J9" s="14"/>
      <c r="K9" s="15"/>
      <c r="L9" s="14"/>
      <c r="M9" s="14"/>
      <c r="N9" s="14"/>
    </row>
    <row r="10" customFormat="false" ht="35.05" hidden="false" customHeight="false" outlineLevel="0" collapsed="false">
      <c r="A10" s="8" t="s">
        <v>135</v>
      </c>
      <c r="B10" s="8" t="s">
        <v>38</v>
      </c>
      <c r="C10" s="8" t="s">
        <v>136</v>
      </c>
      <c r="D10" s="8" t="s">
        <v>137</v>
      </c>
      <c r="E10" s="8" t="s">
        <v>138</v>
      </c>
      <c r="F10" s="8" t="s">
        <v>139</v>
      </c>
      <c r="G10" s="8" t="n">
        <v>2</v>
      </c>
      <c r="H10" s="13" t="n">
        <v>46329</v>
      </c>
      <c r="I10" s="8" t="s">
        <v>23</v>
      </c>
      <c r="J10" s="14"/>
      <c r="K10" s="15"/>
      <c r="L10" s="14"/>
      <c r="M10" s="14"/>
      <c r="N10" s="14"/>
    </row>
    <row r="11" customFormat="false" ht="23.85" hidden="false" customHeight="false" outlineLevel="0" collapsed="false">
      <c r="A11" s="8" t="s">
        <v>140</v>
      </c>
      <c r="B11" s="8" t="s">
        <v>38</v>
      </c>
      <c r="C11" s="8" t="s">
        <v>136</v>
      </c>
      <c r="D11" s="8" t="s">
        <v>141</v>
      </c>
      <c r="E11" s="8" t="s">
        <v>142</v>
      </c>
      <c r="F11" s="8"/>
      <c r="G11" s="8" t="n">
        <v>2</v>
      </c>
      <c r="H11" s="13" t="n">
        <v>46329</v>
      </c>
      <c r="I11" s="8"/>
      <c r="J11" s="14"/>
      <c r="K11" s="15"/>
      <c r="L11" s="14"/>
      <c r="M11" s="14"/>
      <c r="N11" s="14"/>
    </row>
    <row r="12" customFormat="false" ht="15" hidden="false" customHeight="false" outlineLevel="0" collapsed="false">
      <c r="A12" s="8" t="s">
        <v>143</v>
      </c>
      <c r="B12" s="8" t="s">
        <v>38</v>
      </c>
      <c r="C12" s="8" t="s">
        <v>136</v>
      </c>
      <c r="D12" s="8" t="s">
        <v>144</v>
      </c>
      <c r="E12" s="8" t="s">
        <v>145</v>
      </c>
      <c r="F12" s="8"/>
      <c r="G12" s="8" t="n">
        <v>2</v>
      </c>
      <c r="H12" s="13" t="n">
        <v>46329</v>
      </c>
      <c r="I12" s="8"/>
      <c r="J12" s="14"/>
      <c r="K12" s="15"/>
      <c r="L12" s="14"/>
      <c r="M12" s="14"/>
      <c r="N12" s="14"/>
    </row>
    <row r="13" customFormat="false" ht="23.85" hidden="false" customHeight="false" outlineLevel="0" collapsed="false">
      <c r="A13" s="8" t="s">
        <v>146</v>
      </c>
      <c r="B13" s="8" t="s">
        <v>38</v>
      </c>
      <c r="C13" s="8" t="s">
        <v>136</v>
      </c>
      <c r="D13" s="8" t="s">
        <v>147</v>
      </c>
      <c r="E13" s="8" t="s">
        <v>148</v>
      </c>
      <c r="F13" s="8"/>
      <c r="G13" s="8" t="n">
        <v>2</v>
      </c>
      <c r="H13" s="13" t="n">
        <v>46329</v>
      </c>
      <c r="I13" s="8"/>
      <c r="J13" s="14"/>
      <c r="K13" s="15"/>
      <c r="L13" s="14"/>
      <c r="M13" s="14"/>
      <c r="N13" s="14"/>
    </row>
    <row r="14" customFormat="false" ht="23.85" hidden="false" customHeight="false" outlineLevel="0" collapsed="false">
      <c r="A14" s="8" t="s">
        <v>149</v>
      </c>
      <c r="B14" s="8" t="s">
        <v>38</v>
      </c>
      <c r="C14" s="8" t="s">
        <v>136</v>
      </c>
      <c r="D14" s="8" t="s">
        <v>150</v>
      </c>
      <c r="E14" s="8" t="s">
        <v>151</v>
      </c>
      <c r="F14" s="8"/>
      <c r="G14" s="8" t="n">
        <v>2</v>
      </c>
      <c r="H14" s="13" t="n">
        <v>46329</v>
      </c>
      <c r="I14" s="8"/>
      <c r="J14" s="14"/>
      <c r="K14" s="15"/>
      <c r="L14" s="14"/>
      <c r="M14" s="14"/>
      <c r="N14" s="14"/>
    </row>
    <row r="15" customFormat="false" ht="23.85" hidden="false" customHeight="false" outlineLevel="0" collapsed="false">
      <c r="A15" s="8" t="s">
        <v>152</v>
      </c>
      <c r="B15" s="8" t="s">
        <v>38</v>
      </c>
      <c r="C15" s="8" t="s">
        <v>153</v>
      </c>
      <c r="D15" s="8" t="s">
        <v>154</v>
      </c>
      <c r="E15" s="8" t="s">
        <v>155</v>
      </c>
      <c r="F15" s="8" t="s">
        <v>139</v>
      </c>
      <c r="G15" s="8" t="n">
        <v>2</v>
      </c>
      <c r="H15" s="13" t="n">
        <v>46329</v>
      </c>
      <c r="I15" s="8" t="s">
        <v>23</v>
      </c>
      <c r="J15" s="14"/>
      <c r="K15" s="15"/>
      <c r="L15" s="14"/>
      <c r="M15" s="14"/>
      <c r="N15" s="14"/>
    </row>
    <row r="16" customFormat="false" ht="23.85" hidden="false" customHeight="false" outlineLevel="0" collapsed="false">
      <c r="A16" s="8" t="s">
        <v>156</v>
      </c>
      <c r="B16" s="8" t="s">
        <v>38</v>
      </c>
      <c r="C16" s="8" t="s">
        <v>153</v>
      </c>
      <c r="D16" s="8" t="s">
        <v>157</v>
      </c>
      <c r="E16" s="8" t="s">
        <v>158</v>
      </c>
      <c r="F16" s="8" t="s">
        <v>139</v>
      </c>
      <c r="G16" s="8" t="n">
        <v>2</v>
      </c>
      <c r="H16" s="13" t="n">
        <v>46329</v>
      </c>
      <c r="I16" s="8"/>
      <c r="J16" s="14"/>
      <c r="K16" s="15"/>
      <c r="L16" s="14"/>
      <c r="M16" s="14"/>
      <c r="N16" s="14"/>
    </row>
    <row r="17" customFormat="false" ht="23.85" hidden="false" customHeight="false" outlineLevel="0" collapsed="false">
      <c r="A17" s="8" t="s">
        <v>159</v>
      </c>
      <c r="B17" s="8" t="s">
        <v>38</v>
      </c>
      <c r="C17" s="8" t="s">
        <v>153</v>
      </c>
      <c r="D17" s="8" t="s">
        <v>160</v>
      </c>
      <c r="E17" s="8" t="s">
        <v>161</v>
      </c>
      <c r="F17" s="8"/>
      <c r="G17" s="8" t="n">
        <v>2</v>
      </c>
      <c r="H17" s="13" t="n">
        <v>46329</v>
      </c>
      <c r="I17" s="8"/>
      <c r="J17" s="14"/>
      <c r="K17" s="15"/>
      <c r="L17" s="14"/>
      <c r="M17" s="14"/>
      <c r="N17" s="14"/>
    </row>
    <row r="18" customFormat="false" ht="23.85" hidden="false" customHeight="false" outlineLevel="0" collapsed="false">
      <c r="A18" s="8" t="s">
        <v>162</v>
      </c>
      <c r="B18" s="8" t="s">
        <v>38</v>
      </c>
      <c r="C18" s="8" t="s">
        <v>153</v>
      </c>
      <c r="D18" s="8" t="s">
        <v>163</v>
      </c>
      <c r="E18" s="8" t="s">
        <v>164</v>
      </c>
      <c r="F18" s="8" t="s">
        <v>139</v>
      </c>
      <c r="G18" s="8" t="n">
        <v>2</v>
      </c>
      <c r="H18" s="13" t="n">
        <v>46329</v>
      </c>
      <c r="I18" s="8"/>
      <c r="J18" s="14"/>
      <c r="K18" s="15"/>
      <c r="L18" s="14"/>
      <c r="M18" s="14"/>
      <c r="N18" s="14"/>
    </row>
    <row r="19" customFormat="false" ht="35.05" hidden="false" customHeight="false" outlineLevel="0" collapsed="false">
      <c r="A19" s="8" t="s">
        <v>165</v>
      </c>
      <c r="B19" s="8" t="s">
        <v>38</v>
      </c>
      <c r="C19" s="8" t="s">
        <v>166</v>
      </c>
      <c r="D19" s="8" t="s">
        <v>167</v>
      </c>
      <c r="E19" s="8" t="s">
        <v>168</v>
      </c>
      <c r="F19" s="8"/>
      <c r="G19" s="8" t="n">
        <v>2</v>
      </c>
      <c r="H19" s="13" t="n">
        <v>46329</v>
      </c>
      <c r="I19" s="8" t="s">
        <v>23</v>
      </c>
      <c r="J19" s="14"/>
      <c r="K19" s="15"/>
      <c r="L19" s="14"/>
      <c r="M19" s="14"/>
      <c r="N19" s="14"/>
    </row>
    <row r="20" customFormat="false" ht="23.85" hidden="false" customHeight="false" outlineLevel="0" collapsed="false">
      <c r="A20" s="8" t="s">
        <v>169</v>
      </c>
      <c r="B20" s="8" t="s">
        <v>38</v>
      </c>
      <c r="C20" s="8" t="s">
        <v>166</v>
      </c>
      <c r="D20" s="8" t="s">
        <v>170</v>
      </c>
      <c r="E20" s="8" t="s">
        <v>171</v>
      </c>
      <c r="F20" s="8"/>
      <c r="G20" s="8" t="n">
        <v>2</v>
      </c>
      <c r="H20" s="13" t="n">
        <v>46329</v>
      </c>
      <c r="I20" s="8"/>
      <c r="J20" s="14"/>
      <c r="K20" s="15"/>
      <c r="L20" s="14"/>
      <c r="M20" s="14"/>
      <c r="N20" s="14"/>
    </row>
    <row r="21" customFormat="false" ht="23.85" hidden="false" customHeight="false" outlineLevel="0" collapsed="false">
      <c r="A21" s="8" t="s">
        <v>172</v>
      </c>
      <c r="B21" s="8" t="s">
        <v>38</v>
      </c>
      <c r="C21" s="8" t="s">
        <v>166</v>
      </c>
      <c r="D21" s="8" t="s">
        <v>173</v>
      </c>
      <c r="E21" s="8" t="s">
        <v>174</v>
      </c>
      <c r="F21" s="8"/>
      <c r="G21" s="8" t="n">
        <v>2</v>
      </c>
      <c r="H21" s="13" t="n">
        <v>46329</v>
      </c>
      <c r="I21" s="8"/>
      <c r="J21" s="14"/>
      <c r="K21" s="15"/>
      <c r="L21" s="14"/>
      <c r="M21" s="14"/>
      <c r="N21" s="14"/>
    </row>
    <row r="22" customFormat="false" ht="23.85" hidden="false" customHeight="false" outlineLevel="0" collapsed="false">
      <c r="A22" s="8" t="s">
        <v>175</v>
      </c>
      <c r="B22" s="8" t="s">
        <v>38</v>
      </c>
      <c r="C22" s="8" t="s">
        <v>176</v>
      </c>
      <c r="D22" s="8" t="s">
        <v>177</v>
      </c>
      <c r="E22" s="8" t="s">
        <v>178</v>
      </c>
      <c r="F22" s="8"/>
      <c r="G22" s="8" t="n">
        <v>2</v>
      </c>
      <c r="H22" s="13" t="n">
        <v>46329</v>
      </c>
      <c r="I22" s="8"/>
      <c r="J22" s="14"/>
      <c r="K22" s="15"/>
      <c r="L22" s="14"/>
      <c r="M22" s="14"/>
      <c r="N22" s="14"/>
    </row>
    <row r="23" customFormat="false" ht="23.85" hidden="false" customHeight="false" outlineLevel="0" collapsed="false">
      <c r="A23" s="8" t="s">
        <v>179</v>
      </c>
      <c r="B23" s="8" t="s">
        <v>38</v>
      </c>
      <c r="C23" s="8" t="s">
        <v>180</v>
      </c>
      <c r="D23" s="8" t="s">
        <v>181</v>
      </c>
      <c r="E23" s="8" t="s">
        <v>182</v>
      </c>
      <c r="F23" s="8"/>
      <c r="G23" s="8" t="n">
        <v>2</v>
      </c>
      <c r="H23" s="13" t="n">
        <v>46329</v>
      </c>
      <c r="I23" s="8"/>
      <c r="J23" s="14"/>
      <c r="K23" s="15"/>
      <c r="L23" s="14"/>
      <c r="M23" s="14"/>
      <c r="N23" s="14"/>
    </row>
    <row r="24" customFormat="false" ht="15" hidden="false" customHeight="false" outlineLevel="0" collapsed="false">
      <c r="A24" s="8" t="s">
        <v>183</v>
      </c>
      <c r="B24" s="8" t="s">
        <v>38</v>
      </c>
      <c r="C24" s="8" t="s">
        <v>180</v>
      </c>
      <c r="D24" s="8" t="s">
        <v>184</v>
      </c>
      <c r="E24" s="8" t="s">
        <v>185</v>
      </c>
      <c r="F24" s="8" t="s">
        <v>139</v>
      </c>
      <c r="G24" s="8" t="n">
        <v>2</v>
      </c>
      <c r="H24" s="13" t="n">
        <v>46329</v>
      </c>
      <c r="I24" s="8"/>
      <c r="J24" s="14"/>
      <c r="K24" s="15"/>
      <c r="L24" s="14"/>
      <c r="M24" s="14"/>
      <c r="N24" s="14"/>
    </row>
    <row r="25" customFormat="false" ht="23.85" hidden="false" customHeight="false" outlineLevel="0" collapsed="false">
      <c r="A25" s="8" t="s">
        <v>186</v>
      </c>
      <c r="B25" s="8" t="s">
        <v>38</v>
      </c>
      <c r="C25" s="8" t="s">
        <v>187</v>
      </c>
      <c r="D25" s="8" t="s">
        <v>188</v>
      </c>
      <c r="E25" s="8" t="s">
        <v>189</v>
      </c>
      <c r="F25" s="8" t="s">
        <v>190</v>
      </c>
      <c r="G25" s="8" t="n">
        <v>2</v>
      </c>
      <c r="H25" s="13" t="n">
        <v>46329</v>
      </c>
      <c r="I25" s="8"/>
      <c r="J25" s="14"/>
      <c r="K25" s="15"/>
      <c r="L25" s="14"/>
      <c r="M25" s="14"/>
      <c r="N25" s="14"/>
    </row>
    <row r="26" customFormat="false" ht="23.85" hidden="false" customHeight="false" outlineLevel="0" collapsed="false">
      <c r="A26" s="8" t="s">
        <v>191</v>
      </c>
      <c r="B26" s="8" t="s">
        <v>38</v>
      </c>
      <c r="C26" s="8" t="s">
        <v>192</v>
      </c>
      <c r="D26" s="8" t="s">
        <v>193</v>
      </c>
      <c r="E26" s="8" t="s">
        <v>194</v>
      </c>
      <c r="F26" s="8" t="s">
        <v>190</v>
      </c>
      <c r="G26" s="8" t="n">
        <v>2</v>
      </c>
      <c r="H26" s="13" t="n">
        <v>46329</v>
      </c>
      <c r="I26" s="8"/>
      <c r="J26" s="14"/>
      <c r="K26" s="15"/>
      <c r="L26" s="14"/>
      <c r="M26" s="14"/>
      <c r="N26" s="14"/>
    </row>
    <row r="27" customFormat="false" ht="23.85" hidden="false" customHeight="false" outlineLevel="0" collapsed="false">
      <c r="A27" s="8" t="s">
        <v>195</v>
      </c>
      <c r="B27" s="8" t="s">
        <v>38</v>
      </c>
      <c r="C27" s="8" t="s">
        <v>196</v>
      </c>
      <c r="D27" s="8" t="s">
        <v>197</v>
      </c>
      <c r="E27" s="8" t="s">
        <v>198</v>
      </c>
      <c r="F27" s="8"/>
      <c r="G27" s="8" t="n">
        <v>2</v>
      </c>
      <c r="H27" s="13" t="n">
        <v>46329</v>
      </c>
      <c r="I27" s="8"/>
      <c r="J27" s="14"/>
      <c r="K27" s="15"/>
      <c r="L27" s="14"/>
      <c r="M27" s="14"/>
      <c r="N27" s="14"/>
    </row>
    <row r="28" customFormat="false" ht="23.85" hidden="false" customHeight="false" outlineLevel="0" collapsed="false">
      <c r="A28" s="8" t="s">
        <v>199</v>
      </c>
      <c r="B28" s="8" t="s">
        <v>38</v>
      </c>
      <c r="C28" s="8" t="s">
        <v>200</v>
      </c>
      <c r="D28" s="8" t="s">
        <v>201</v>
      </c>
      <c r="E28" s="8" t="s">
        <v>202</v>
      </c>
      <c r="F28" s="8" t="s">
        <v>203</v>
      </c>
      <c r="G28" s="8" t="n">
        <v>3</v>
      </c>
      <c r="H28" s="13" t="n">
        <v>46330</v>
      </c>
      <c r="I28" s="8"/>
      <c r="J28" s="14"/>
      <c r="K28" s="15"/>
      <c r="L28" s="14"/>
      <c r="M28" s="14"/>
      <c r="N28" s="14"/>
    </row>
    <row r="29" customFormat="false" ht="23.85" hidden="false" customHeight="false" outlineLevel="0" collapsed="false">
      <c r="A29" s="8" t="s">
        <v>204</v>
      </c>
      <c r="B29" s="8" t="s">
        <v>38</v>
      </c>
      <c r="C29" s="8" t="s">
        <v>200</v>
      </c>
      <c r="D29" s="8" t="s">
        <v>205</v>
      </c>
      <c r="E29" s="8" t="s">
        <v>206</v>
      </c>
      <c r="F29" s="8"/>
      <c r="G29" s="8" t="n">
        <v>3</v>
      </c>
      <c r="H29" s="13" t="n">
        <v>46330</v>
      </c>
      <c r="I29" s="8"/>
      <c r="J29" s="14"/>
      <c r="K29" s="15"/>
      <c r="L29" s="14"/>
      <c r="M29" s="14"/>
      <c r="N29" s="14"/>
    </row>
    <row r="30" customFormat="false" ht="23.85" hidden="false" customHeight="false" outlineLevel="0" collapsed="false">
      <c r="A30" s="8" t="s">
        <v>207</v>
      </c>
      <c r="B30" s="8" t="s">
        <v>38</v>
      </c>
      <c r="C30" s="8" t="s">
        <v>208</v>
      </c>
      <c r="D30" s="8" t="s">
        <v>209</v>
      </c>
      <c r="E30" s="8" t="s">
        <v>210</v>
      </c>
      <c r="F30" s="8" t="s">
        <v>211</v>
      </c>
      <c r="G30" s="8" t="n">
        <v>3</v>
      </c>
      <c r="H30" s="13" t="n">
        <v>46330</v>
      </c>
      <c r="I30" s="8" t="s">
        <v>23</v>
      </c>
      <c r="J30" s="14"/>
      <c r="K30" s="15"/>
      <c r="L30" s="14"/>
      <c r="M30" s="14"/>
      <c r="N30" s="14"/>
    </row>
    <row r="31" customFormat="false" ht="35.05" hidden="false" customHeight="false" outlineLevel="0" collapsed="false">
      <c r="A31" s="8" t="s">
        <v>212</v>
      </c>
      <c r="B31" s="8" t="s">
        <v>38</v>
      </c>
      <c r="C31" s="8" t="s">
        <v>208</v>
      </c>
      <c r="D31" s="8" t="s">
        <v>213</v>
      </c>
      <c r="E31" s="8" t="s">
        <v>214</v>
      </c>
      <c r="F31" s="8" t="s">
        <v>211</v>
      </c>
      <c r="G31" s="8" t="n">
        <v>3</v>
      </c>
      <c r="H31" s="13" t="n">
        <v>46330</v>
      </c>
      <c r="I31" s="8" t="s">
        <v>23</v>
      </c>
      <c r="J31" s="14"/>
      <c r="K31" s="15"/>
      <c r="L31" s="14"/>
      <c r="M31" s="14"/>
      <c r="N31" s="14"/>
    </row>
    <row r="32" customFormat="false" ht="23.85" hidden="false" customHeight="false" outlineLevel="0" collapsed="false">
      <c r="A32" s="8" t="s">
        <v>215</v>
      </c>
      <c r="B32" s="8" t="s">
        <v>38</v>
      </c>
      <c r="C32" s="8" t="s">
        <v>216</v>
      </c>
      <c r="D32" s="8" t="s">
        <v>217</v>
      </c>
      <c r="E32" s="8" t="s">
        <v>218</v>
      </c>
      <c r="F32" s="8"/>
      <c r="G32" s="8" t="n">
        <v>3</v>
      </c>
      <c r="H32" s="13" t="n">
        <v>46330</v>
      </c>
      <c r="I32" s="8"/>
      <c r="J32" s="14"/>
      <c r="K32" s="15"/>
      <c r="L32" s="14"/>
      <c r="M32" s="14"/>
      <c r="N32" s="14"/>
    </row>
    <row r="33" customFormat="false" ht="23.85" hidden="false" customHeight="false" outlineLevel="0" collapsed="false">
      <c r="A33" s="8" t="s">
        <v>219</v>
      </c>
      <c r="B33" s="8" t="s">
        <v>38</v>
      </c>
      <c r="C33" s="8" t="s">
        <v>200</v>
      </c>
      <c r="D33" s="8" t="s">
        <v>220</v>
      </c>
      <c r="E33" s="8" t="s">
        <v>221</v>
      </c>
      <c r="F33" s="8"/>
      <c r="G33" s="8" t="n">
        <v>3</v>
      </c>
      <c r="H33" s="13" t="n">
        <v>46330</v>
      </c>
      <c r="I33" s="8"/>
      <c r="J33" s="14"/>
      <c r="K33" s="15"/>
      <c r="L33" s="14"/>
      <c r="M33" s="14"/>
      <c r="N33" s="14"/>
    </row>
    <row r="34" customFormat="false" ht="23.85" hidden="false" customHeight="false" outlineLevel="0" collapsed="false">
      <c r="A34" s="8" t="s">
        <v>222</v>
      </c>
      <c r="B34" s="8" t="s">
        <v>38</v>
      </c>
      <c r="C34" s="8" t="s">
        <v>223</v>
      </c>
      <c r="D34" s="8" t="s">
        <v>224</v>
      </c>
      <c r="E34" s="8" t="s">
        <v>225</v>
      </c>
      <c r="F34" s="8"/>
      <c r="G34" s="8" t="n">
        <v>3</v>
      </c>
      <c r="H34" s="13" t="n">
        <v>46330</v>
      </c>
      <c r="I34" s="8"/>
      <c r="J34" s="14"/>
      <c r="K34" s="15"/>
      <c r="L34" s="14"/>
      <c r="M34" s="14"/>
      <c r="N34" s="14"/>
    </row>
    <row r="35" customFormat="false" ht="23.85" hidden="false" customHeight="false" outlineLevel="0" collapsed="false">
      <c r="A35" s="8" t="s">
        <v>226</v>
      </c>
      <c r="B35" s="8" t="s">
        <v>38</v>
      </c>
      <c r="C35" s="8" t="s">
        <v>227</v>
      </c>
      <c r="D35" s="8" t="s">
        <v>228</v>
      </c>
      <c r="E35" s="8" t="s">
        <v>229</v>
      </c>
      <c r="F35" s="8"/>
      <c r="G35" s="8" t="n">
        <v>3</v>
      </c>
      <c r="H35" s="13" t="n">
        <v>46330</v>
      </c>
      <c r="I35" s="8"/>
      <c r="J35" s="14"/>
      <c r="K35" s="15"/>
      <c r="L35" s="14"/>
      <c r="M35" s="14"/>
      <c r="N35" s="14"/>
    </row>
    <row r="36" customFormat="false" ht="23.85" hidden="false" customHeight="false" outlineLevel="0" collapsed="false">
      <c r="A36" s="8" t="s">
        <v>230</v>
      </c>
      <c r="B36" s="8" t="s">
        <v>38</v>
      </c>
      <c r="C36" s="8" t="s">
        <v>231</v>
      </c>
      <c r="D36" s="8" t="s">
        <v>232</v>
      </c>
      <c r="E36" s="8" t="s">
        <v>233</v>
      </c>
      <c r="F36" s="8"/>
      <c r="G36" s="8" t="n">
        <v>3</v>
      </c>
      <c r="H36" s="13" t="n">
        <v>46330</v>
      </c>
      <c r="I36" s="8"/>
      <c r="J36" s="14"/>
      <c r="K36" s="15"/>
      <c r="L36" s="14"/>
      <c r="M36" s="14"/>
      <c r="N36" s="14"/>
    </row>
    <row r="37" customFormat="false" ht="23.85" hidden="false" customHeight="false" outlineLevel="0" collapsed="false">
      <c r="A37" s="8" t="s">
        <v>234</v>
      </c>
      <c r="B37" s="8" t="s">
        <v>38</v>
      </c>
      <c r="C37" s="8" t="s">
        <v>231</v>
      </c>
      <c r="D37" s="8" t="s">
        <v>235</v>
      </c>
      <c r="E37" s="8" t="s">
        <v>236</v>
      </c>
      <c r="F37" s="8" t="s">
        <v>121</v>
      </c>
      <c r="G37" s="8" t="n">
        <v>3</v>
      </c>
      <c r="H37" s="13" t="n">
        <v>46330</v>
      </c>
      <c r="I37" s="8" t="s">
        <v>23</v>
      </c>
      <c r="J37" s="14"/>
      <c r="K37" s="15"/>
      <c r="L37" s="14"/>
      <c r="M37" s="14"/>
      <c r="N37" s="14"/>
    </row>
    <row r="38" customFormat="false" ht="35.05" hidden="false" customHeight="false" outlineLevel="0" collapsed="false">
      <c r="A38" s="8" t="s">
        <v>237</v>
      </c>
      <c r="B38" s="8" t="s">
        <v>38</v>
      </c>
      <c r="C38" s="8" t="s">
        <v>231</v>
      </c>
      <c r="D38" s="8" t="s">
        <v>238</v>
      </c>
      <c r="E38" s="8" t="s">
        <v>239</v>
      </c>
      <c r="F38" s="8" t="s">
        <v>240</v>
      </c>
      <c r="G38" s="8" t="n">
        <v>3</v>
      </c>
      <c r="H38" s="13" t="n">
        <v>46330</v>
      </c>
      <c r="I38" s="8"/>
      <c r="J38" s="14"/>
      <c r="K38" s="15"/>
      <c r="L38" s="14"/>
      <c r="M38" s="14"/>
      <c r="N38" s="14"/>
    </row>
    <row r="39" customFormat="false" ht="23.85" hidden="false" customHeight="false" outlineLevel="0" collapsed="false">
      <c r="A39" s="8" t="s">
        <v>241</v>
      </c>
      <c r="B39" s="8" t="s">
        <v>38</v>
      </c>
      <c r="C39" s="8" t="s">
        <v>231</v>
      </c>
      <c r="D39" s="8" t="s">
        <v>242</v>
      </c>
      <c r="E39" s="8" t="s">
        <v>243</v>
      </c>
      <c r="F39" s="8" t="s">
        <v>244</v>
      </c>
      <c r="G39" s="8" t="n">
        <v>3</v>
      </c>
      <c r="H39" s="13" t="n">
        <v>46330</v>
      </c>
      <c r="I39" s="8"/>
      <c r="J39" s="14"/>
      <c r="K39" s="15"/>
      <c r="L39" s="14"/>
      <c r="M39" s="14"/>
      <c r="N39" s="14"/>
    </row>
    <row r="40" customFormat="false" ht="23.85" hidden="false" customHeight="false" outlineLevel="0" collapsed="false">
      <c r="A40" s="8" t="s">
        <v>245</v>
      </c>
      <c r="B40" s="8" t="s">
        <v>38</v>
      </c>
      <c r="C40" s="8" t="s">
        <v>231</v>
      </c>
      <c r="D40" s="8" t="s">
        <v>246</v>
      </c>
      <c r="E40" s="8" t="s">
        <v>247</v>
      </c>
      <c r="F40" s="8"/>
      <c r="G40" s="8" t="n">
        <v>3</v>
      </c>
      <c r="H40" s="13" t="n">
        <v>46330</v>
      </c>
      <c r="I40" s="8"/>
      <c r="J40" s="14"/>
      <c r="K40" s="15"/>
      <c r="L40" s="14"/>
      <c r="M40" s="14"/>
      <c r="N40" s="14"/>
    </row>
    <row r="41" customFormat="false" ht="15" hidden="false" customHeight="false" outlineLevel="0" collapsed="false">
      <c r="A41" s="8" t="s">
        <v>248</v>
      </c>
      <c r="B41" s="8" t="s">
        <v>38</v>
      </c>
      <c r="C41" s="8" t="s">
        <v>249</v>
      </c>
      <c r="D41" s="8" t="s">
        <v>250</v>
      </c>
      <c r="E41" s="8" t="s">
        <v>251</v>
      </c>
      <c r="F41" s="8" t="s">
        <v>252</v>
      </c>
      <c r="G41" s="8" t="n">
        <v>3</v>
      </c>
      <c r="H41" s="13" t="n">
        <v>46330</v>
      </c>
      <c r="I41" s="8" t="s">
        <v>23</v>
      </c>
      <c r="J41" s="14"/>
      <c r="K41" s="15"/>
      <c r="L41" s="14"/>
      <c r="M41" s="14"/>
      <c r="N41" s="14"/>
    </row>
    <row r="42" customFormat="false" ht="15" hidden="false" customHeight="false" outlineLevel="0" collapsed="false">
      <c r="A42" s="8" t="s">
        <v>253</v>
      </c>
      <c r="B42" s="8" t="s">
        <v>38</v>
      </c>
      <c r="C42" s="8" t="s">
        <v>249</v>
      </c>
      <c r="D42" s="8" t="s">
        <v>254</v>
      </c>
      <c r="E42" s="8" t="s">
        <v>255</v>
      </c>
      <c r="F42" s="8"/>
      <c r="G42" s="8" t="n">
        <v>3</v>
      </c>
      <c r="H42" s="13" t="n">
        <v>46330</v>
      </c>
      <c r="I42" s="8"/>
      <c r="J42" s="14"/>
      <c r="K42" s="15"/>
      <c r="L42" s="14"/>
      <c r="M42" s="14"/>
      <c r="N42" s="14"/>
    </row>
    <row r="43" customFormat="false" ht="23.85" hidden="false" customHeight="false" outlineLevel="0" collapsed="false">
      <c r="A43" s="8" t="s">
        <v>256</v>
      </c>
      <c r="B43" s="8" t="s">
        <v>38</v>
      </c>
      <c r="C43" s="8" t="s">
        <v>249</v>
      </c>
      <c r="D43" s="8" t="s">
        <v>257</v>
      </c>
      <c r="E43" s="8" t="s">
        <v>258</v>
      </c>
      <c r="F43" s="8"/>
      <c r="G43" s="8" t="n">
        <v>3</v>
      </c>
      <c r="H43" s="13" t="n">
        <v>46330</v>
      </c>
      <c r="I43" s="8" t="s">
        <v>23</v>
      </c>
      <c r="J43" s="14"/>
      <c r="K43" s="15"/>
      <c r="L43" s="14"/>
      <c r="M43" s="14"/>
      <c r="N43" s="14"/>
    </row>
    <row r="44" customFormat="false" ht="23.85" hidden="false" customHeight="false" outlineLevel="0" collapsed="false">
      <c r="A44" s="8" t="s">
        <v>259</v>
      </c>
      <c r="B44" s="8" t="s">
        <v>38</v>
      </c>
      <c r="C44" s="8" t="s">
        <v>260</v>
      </c>
      <c r="D44" s="8" t="s">
        <v>261</v>
      </c>
      <c r="E44" s="8" t="s">
        <v>262</v>
      </c>
      <c r="F44" s="8"/>
      <c r="G44" s="8" t="n">
        <v>3</v>
      </c>
      <c r="H44" s="13" t="n">
        <v>46330</v>
      </c>
      <c r="I44" s="8"/>
      <c r="J44" s="14"/>
      <c r="K44" s="15"/>
      <c r="L44" s="14"/>
      <c r="M44" s="14"/>
      <c r="N44" s="14"/>
    </row>
    <row r="45" customFormat="false" ht="23.85" hidden="false" customHeight="false" outlineLevel="0" collapsed="false">
      <c r="A45" s="8" t="s">
        <v>263</v>
      </c>
      <c r="B45" s="8" t="s">
        <v>38</v>
      </c>
      <c r="C45" s="8" t="s">
        <v>264</v>
      </c>
      <c r="D45" s="8" t="s">
        <v>265</v>
      </c>
      <c r="E45" s="8" t="s">
        <v>266</v>
      </c>
      <c r="F45" s="8"/>
      <c r="G45" s="8" t="n">
        <v>4</v>
      </c>
      <c r="H45" s="13" t="n">
        <v>46331</v>
      </c>
      <c r="I45" s="8"/>
      <c r="J45" s="14"/>
      <c r="K45" s="15"/>
      <c r="L45" s="14"/>
      <c r="M45" s="14"/>
      <c r="N45" s="14"/>
    </row>
    <row r="46" customFormat="false" ht="23.85" hidden="false" customHeight="false" outlineLevel="0" collapsed="false">
      <c r="A46" s="8" t="s">
        <v>267</v>
      </c>
      <c r="B46" s="8" t="s">
        <v>38</v>
      </c>
      <c r="C46" s="8" t="s">
        <v>264</v>
      </c>
      <c r="D46" s="8" t="s">
        <v>268</v>
      </c>
      <c r="E46" s="8" t="s">
        <v>269</v>
      </c>
      <c r="F46" s="8"/>
      <c r="G46" s="8" t="n">
        <v>4</v>
      </c>
      <c r="H46" s="13" t="n">
        <v>46331</v>
      </c>
      <c r="I46" s="8" t="s">
        <v>23</v>
      </c>
      <c r="J46" s="14"/>
      <c r="K46" s="15"/>
      <c r="L46" s="14"/>
      <c r="M46" s="14"/>
      <c r="N46" s="14"/>
    </row>
    <row r="47" customFormat="false" ht="23.85" hidden="false" customHeight="false" outlineLevel="0" collapsed="false">
      <c r="A47" s="8" t="s">
        <v>270</v>
      </c>
      <c r="B47" s="8" t="s">
        <v>38</v>
      </c>
      <c r="C47" s="8" t="s">
        <v>264</v>
      </c>
      <c r="D47" s="8" t="s">
        <v>271</v>
      </c>
      <c r="E47" s="8" t="s">
        <v>272</v>
      </c>
      <c r="F47" s="8"/>
      <c r="G47" s="8" t="n">
        <v>4</v>
      </c>
      <c r="H47" s="13" t="n">
        <v>46331</v>
      </c>
      <c r="I47" s="8"/>
      <c r="J47" s="14"/>
      <c r="K47" s="15"/>
      <c r="L47" s="14"/>
      <c r="M47" s="14"/>
      <c r="N47" s="14"/>
    </row>
    <row r="48" customFormat="false" ht="23.85" hidden="false" customHeight="false" outlineLevel="0" collapsed="false">
      <c r="A48" s="8" t="s">
        <v>273</v>
      </c>
      <c r="B48" s="8" t="s">
        <v>38</v>
      </c>
      <c r="C48" s="8" t="s">
        <v>264</v>
      </c>
      <c r="D48" s="8" t="s">
        <v>274</v>
      </c>
      <c r="E48" s="8" t="s">
        <v>275</v>
      </c>
      <c r="F48" s="8"/>
      <c r="G48" s="8" t="n">
        <v>4</v>
      </c>
      <c r="H48" s="13" t="n">
        <v>46331</v>
      </c>
      <c r="I48" s="8"/>
      <c r="J48" s="14"/>
      <c r="K48" s="15"/>
      <c r="L48" s="14"/>
      <c r="M48" s="14"/>
      <c r="N48" s="14"/>
    </row>
    <row r="49" customFormat="false" ht="23.85" hidden="false" customHeight="false" outlineLevel="0" collapsed="false">
      <c r="A49" s="8" t="s">
        <v>276</v>
      </c>
      <c r="B49" s="8" t="s">
        <v>38</v>
      </c>
      <c r="C49" s="8" t="s">
        <v>264</v>
      </c>
      <c r="D49" s="8" t="s">
        <v>277</v>
      </c>
      <c r="E49" s="8" t="s">
        <v>278</v>
      </c>
      <c r="F49" s="8"/>
      <c r="G49" s="8" t="n">
        <v>4</v>
      </c>
      <c r="H49" s="13" t="n">
        <v>46331</v>
      </c>
      <c r="I49" s="8"/>
      <c r="J49" s="14"/>
      <c r="K49" s="15"/>
      <c r="L49" s="14"/>
      <c r="M49" s="14"/>
      <c r="N49" s="14"/>
    </row>
    <row r="50" customFormat="false" ht="23.85" hidden="false" customHeight="false" outlineLevel="0" collapsed="false">
      <c r="A50" s="8" t="s">
        <v>279</v>
      </c>
      <c r="B50" s="8" t="s">
        <v>38</v>
      </c>
      <c r="C50" s="8" t="s">
        <v>264</v>
      </c>
      <c r="D50" s="8" t="s">
        <v>280</v>
      </c>
      <c r="E50" s="8" t="s">
        <v>281</v>
      </c>
      <c r="F50" s="8"/>
      <c r="G50" s="8" t="n">
        <v>4</v>
      </c>
      <c r="H50" s="13" t="n">
        <v>46331</v>
      </c>
      <c r="I50" s="8" t="s">
        <v>23</v>
      </c>
      <c r="J50" s="14"/>
      <c r="K50" s="15"/>
      <c r="L50" s="14"/>
      <c r="M50" s="14"/>
      <c r="N50" s="14"/>
    </row>
    <row r="51" customFormat="false" ht="23.85" hidden="false" customHeight="false" outlineLevel="0" collapsed="false">
      <c r="A51" s="8" t="s">
        <v>282</v>
      </c>
      <c r="B51" s="8" t="s">
        <v>38</v>
      </c>
      <c r="C51" s="8" t="s">
        <v>264</v>
      </c>
      <c r="D51" s="8" t="s">
        <v>283</v>
      </c>
      <c r="E51" s="8" t="s">
        <v>284</v>
      </c>
      <c r="F51" s="8"/>
      <c r="G51" s="8" t="n">
        <v>4</v>
      </c>
      <c r="H51" s="13" t="n">
        <v>46331</v>
      </c>
      <c r="I51" s="8"/>
      <c r="J51" s="14"/>
      <c r="K51" s="15"/>
      <c r="L51" s="14"/>
      <c r="M51" s="14"/>
      <c r="N51" s="14"/>
    </row>
    <row r="52" customFormat="false" ht="23.85" hidden="false" customHeight="false" outlineLevel="0" collapsed="false">
      <c r="A52" s="8" t="s">
        <v>285</v>
      </c>
      <c r="B52" s="8" t="s">
        <v>38</v>
      </c>
      <c r="C52" s="8" t="s">
        <v>264</v>
      </c>
      <c r="D52" s="8" t="s">
        <v>286</v>
      </c>
      <c r="E52" s="8" t="s">
        <v>287</v>
      </c>
      <c r="F52" s="8" t="s">
        <v>190</v>
      </c>
      <c r="G52" s="8" t="n">
        <v>4</v>
      </c>
      <c r="H52" s="13" t="n">
        <v>46331</v>
      </c>
      <c r="I52" s="8"/>
      <c r="J52" s="14"/>
      <c r="K52" s="15"/>
      <c r="L52" s="14"/>
      <c r="M52" s="14"/>
      <c r="N52" s="14"/>
    </row>
    <row r="53" customFormat="false" ht="15" hidden="false" customHeight="false" outlineLevel="0" collapsed="false">
      <c r="A53" s="8" t="s">
        <v>288</v>
      </c>
      <c r="B53" s="8" t="s">
        <v>38</v>
      </c>
      <c r="C53" s="8" t="s">
        <v>264</v>
      </c>
      <c r="D53" s="8" t="s">
        <v>289</v>
      </c>
      <c r="E53" s="8" t="s">
        <v>290</v>
      </c>
      <c r="F53" s="8"/>
      <c r="G53" s="8" t="n">
        <v>4</v>
      </c>
      <c r="H53" s="13" t="n">
        <v>46331</v>
      </c>
      <c r="I53" s="8"/>
      <c r="J53" s="14"/>
      <c r="K53" s="15"/>
      <c r="L53" s="14"/>
      <c r="M53" s="14"/>
      <c r="N53" s="14"/>
    </row>
    <row r="54" customFormat="false" ht="35.05" hidden="false" customHeight="false" outlineLevel="0" collapsed="false">
      <c r="A54" s="8" t="s">
        <v>291</v>
      </c>
      <c r="B54" s="8" t="s">
        <v>38</v>
      </c>
      <c r="C54" s="8" t="s">
        <v>292</v>
      </c>
      <c r="D54" s="8" t="s">
        <v>293</v>
      </c>
      <c r="E54" s="8" t="s">
        <v>294</v>
      </c>
      <c r="F54" s="8"/>
      <c r="G54" s="8" t="n">
        <v>4</v>
      </c>
      <c r="H54" s="13" t="n">
        <v>46331</v>
      </c>
      <c r="I54" s="8"/>
      <c r="J54" s="14"/>
      <c r="K54" s="15"/>
      <c r="L54" s="14"/>
      <c r="M54" s="14"/>
      <c r="N54" s="14"/>
    </row>
    <row r="55" customFormat="false" ht="23.85" hidden="false" customHeight="false" outlineLevel="0" collapsed="false">
      <c r="A55" s="8" t="s">
        <v>295</v>
      </c>
      <c r="B55" s="8" t="s">
        <v>38</v>
      </c>
      <c r="C55" s="8" t="s">
        <v>296</v>
      </c>
      <c r="D55" s="8" t="s">
        <v>297</v>
      </c>
      <c r="E55" s="8" t="s">
        <v>298</v>
      </c>
      <c r="F55" s="8"/>
      <c r="G55" s="8" t="n">
        <v>4</v>
      </c>
      <c r="H55" s="13" t="n">
        <v>46331</v>
      </c>
      <c r="I55" s="8"/>
      <c r="J55" s="14"/>
      <c r="K55" s="15"/>
      <c r="L55" s="14"/>
      <c r="M55" s="14"/>
      <c r="N55" s="14"/>
    </row>
    <row r="56" customFormat="false" ht="23.85" hidden="false" customHeight="false" outlineLevel="0" collapsed="false">
      <c r="A56" s="8" t="s">
        <v>299</v>
      </c>
      <c r="B56" s="8" t="s">
        <v>38</v>
      </c>
      <c r="C56" s="8" t="s">
        <v>296</v>
      </c>
      <c r="D56" s="8" t="s">
        <v>300</v>
      </c>
      <c r="E56" s="8" t="s">
        <v>301</v>
      </c>
      <c r="F56" s="8"/>
      <c r="G56" s="8" t="n">
        <v>4</v>
      </c>
      <c r="H56" s="13" t="n">
        <v>46331</v>
      </c>
      <c r="I56" s="8"/>
      <c r="J56" s="14"/>
      <c r="K56" s="15"/>
      <c r="L56" s="14"/>
      <c r="M56" s="14"/>
      <c r="N56" s="14"/>
    </row>
    <row r="57" customFormat="false" ht="23.85" hidden="false" customHeight="false" outlineLevel="0" collapsed="false">
      <c r="A57" s="8" t="s">
        <v>302</v>
      </c>
      <c r="B57" s="8" t="s">
        <v>38</v>
      </c>
      <c r="C57" s="8" t="s">
        <v>303</v>
      </c>
      <c r="D57" s="8" t="s">
        <v>304</v>
      </c>
      <c r="E57" s="8" t="s">
        <v>305</v>
      </c>
      <c r="F57" s="8" t="s">
        <v>306</v>
      </c>
      <c r="G57" s="8" t="n">
        <v>4</v>
      </c>
      <c r="H57" s="13" t="n">
        <v>46331</v>
      </c>
      <c r="I57" s="8"/>
      <c r="J57" s="14"/>
      <c r="K57" s="15"/>
      <c r="L57" s="14"/>
      <c r="M57" s="14"/>
      <c r="N57" s="14"/>
    </row>
    <row r="58" customFormat="false" ht="23.85" hidden="false" customHeight="false" outlineLevel="0" collapsed="false">
      <c r="A58" s="8" t="s">
        <v>307</v>
      </c>
      <c r="B58" s="8" t="s">
        <v>38</v>
      </c>
      <c r="C58" s="8" t="s">
        <v>303</v>
      </c>
      <c r="D58" s="8" t="s">
        <v>308</v>
      </c>
      <c r="E58" s="8" t="s">
        <v>309</v>
      </c>
      <c r="F58" s="8" t="s">
        <v>306</v>
      </c>
      <c r="G58" s="8" t="n">
        <v>4</v>
      </c>
      <c r="H58" s="13" t="n">
        <v>46331</v>
      </c>
      <c r="I58" s="8"/>
      <c r="J58" s="14"/>
      <c r="K58" s="15"/>
      <c r="L58" s="14"/>
      <c r="M58" s="14"/>
      <c r="N58" s="14"/>
    </row>
    <row r="59" customFormat="false" ht="15" hidden="false" customHeight="false" outlineLevel="0" collapsed="false">
      <c r="A59" s="8" t="s">
        <v>310</v>
      </c>
      <c r="B59" s="8" t="s">
        <v>38</v>
      </c>
      <c r="C59" s="8" t="s">
        <v>303</v>
      </c>
      <c r="D59" s="8" t="s">
        <v>311</v>
      </c>
      <c r="E59" s="8" t="s">
        <v>312</v>
      </c>
      <c r="F59" s="8"/>
      <c r="G59" s="8" t="n">
        <v>4</v>
      </c>
      <c r="H59" s="13" t="n">
        <v>46331</v>
      </c>
      <c r="I59" s="8"/>
      <c r="J59" s="14"/>
      <c r="K59" s="15"/>
      <c r="L59" s="14"/>
      <c r="M59" s="14"/>
      <c r="N59" s="14"/>
    </row>
    <row r="60" customFormat="false" ht="23.85" hidden="false" customHeight="false" outlineLevel="0" collapsed="false">
      <c r="A60" s="8" t="s">
        <v>313</v>
      </c>
      <c r="B60" s="8" t="s">
        <v>38</v>
      </c>
      <c r="C60" s="8" t="s">
        <v>314</v>
      </c>
      <c r="D60" s="8" t="s">
        <v>315</v>
      </c>
      <c r="E60" s="8" t="s">
        <v>316</v>
      </c>
      <c r="F60" s="8" t="s">
        <v>306</v>
      </c>
      <c r="G60" s="8" t="n">
        <v>4</v>
      </c>
      <c r="H60" s="13" t="n">
        <v>46331</v>
      </c>
      <c r="I60" s="8"/>
      <c r="J60" s="14"/>
      <c r="K60" s="15"/>
      <c r="L60" s="14"/>
      <c r="M60" s="14"/>
      <c r="N60" s="14"/>
    </row>
    <row r="61" customFormat="false" ht="23.85" hidden="false" customHeight="false" outlineLevel="0" collapsed="false">
      <c r="A61" s="8" t="s">
        <v>317</v>
      </c>
      <c r="B61" s="8" t="s">
        <v>38</v>
      </c>
      <c r="C61" s="8" t="s">
        <v>318</v>
      </c>
      <c r="D61" s="8" t="s">
        <v>319</v>
      </c>
      <c r="E61" s="8" t="s">
        <v>320</v>
      </c>
      <c r="F61" s="8"/>
      <c r="G61" s="8" t="n">
        <v>5</v>
      </c>
      <c r="H61" s="13" t="n">
        <v>46332</v>
      </c>
      <c r="I61" s="8" t="s">
        <v>23</v>
      </c>
      <c r="J61" s="14"/>
      <c r="K61" s="15"/>
      <c r="L61" s="14"/>
      <c r="M61" s="14"/>
      <c r="N61" s="14"/>
    </row>
    <row r="62" customFormat="false" ht="23.85" hidden="false" customHeight="false" outlineLevel="0" collapsed="false">
      <c r="A62" s="8" t="s">
        <v>321</v>
      </c>
      <c r="B62" s="8" t="s">
        <v>38</v>
      </c>
      <c r="C62" s="8" t="s">
        <v>318</v>
      </c>
      <c r="D62" s="8" t="s">
        <v>322</v>
      </c>
      <c r="E62" s="8" t="s">
        <v>323</v>
      </c>
      <c r="F62" s="8"/>
      <c r="G62" s="8" t="n">
        <v>5</v>
      </c>
      <c r="H62" s="13" t="n">
        <v>46332</v>
      </c>
      <c r="I62" s="8" t="s">
        <v>23</v>
      </c>
      <c r="J62" s="14"/>
      <c r="K62" s="15"/>
      <c r="L62" s="14"/>
      <c r="M62" s="14"/>
      <c r="N62" s="14"/>
    </row>
    <row r="63" customFormat="false" ht="23.85" hidden="false" customHeight="false" outlineLevel="0" collapsed="false">
      <c r="A63" s="8" t="s">
        <v>324</v>
      </c>
      <c r="B63" s="8" t="s">
        <v>38</v>
      </c>
      <c r="C63" s="8" t="s">
        <v>318</v>
      </c>
      <c r="D63" s="8" t="s">
        <v>325</v>
      </c>
      <c r="E63" s="8" t="s">
        <v>326</v>
      </c>
      <c r="F63" s="8" t="s">
        <v>327</v>
      </c>
      <c r="G63" s="8" t="n">
        <v>5</v>
      </c>
      <c r="H63" s="13" t="n">
        <v>46332</v>
      </c>
      <c r="I63" s="8"/>
      <c r="J63" s="14"/>
      <c r="K63" s="15"/>
      <c r="L63" s="14"/>
      <c r="M63" s="14"/>
      <c r="N63" s="14"/>
    </row>
    <row r="64" customFormat="false" ht="23.85" hidden="false" customHeight="false" outlineLevel="0" collapsed="false">
      <c r="A64" s="8" t="s">
        <v>328</v>
      </c>
      <c r="B64" s="8" t="s">
        <v>38</v>
      </c>
      <c r="C64" s="8" t="s">
        <v>318</v>
      </c>
      <c r="D64" s="8" t="s">
        <v>329</v>
      </c>
      <c r="E64" s="8" t="s">
        <v>330</v>
      </c>
      <c r="F64" s="8"/>
      <c r="G64" s="8" t="n">
        <v>5</v>
      </c>
      <c r="H64" s="13" t="n">
        <v>46332</v>
      </c>
      <c r="I64" s="8"/>
      <c r="J64" s="14"/>
      <c r="K64" s="15"/>
      <c r="L64" s="14"/>
      <c r="M64" s="14"/>
      <c r="N64" s="14"/>
    </row>
    <row r="65" customFormat="false" ht="15" hidden="false" customHeight="false" outlineLevel="0" collapsed="false">
      <c r="A65" s="8" t="s">
        <v>331</v>
      </c>
      <c r="B65" s="8" t="s">
        <v>38</v>
      </c>
      <c r="C65" s="8" t="s">
        <v>318</v>
      </c>
      <c r="D65" s="8" t="s">
        <v>332</v>
      </c>
      <c r="E65" s="8" t="s">
        <v>333</v>
      </c>
      <c r="F65" s="8"/>
      <c r="G65" s="8" t="n">
        <v>5</v>
      </c>
      <c r="H65" s="13" t="n">
        <v>46332</v>
      </c>
      <c r="I65" s="8"/>
      <c r="J65" s="14"/>
      <c r="K65" s="15"/>
      <c r="L65" s="14"/>
      <c r="M65" s="14"/>
      <c r="N65" s="14"/>
    </row>
    <row r="66" customFormat="false" ht="23.85" hidden="false" customHeight="false" outlineLevel="0" collapsed="false">
      <c r="A66" s="8" t="s">
        <v>334</v>
      </c>
      <c r="B66" s="8" t="s">
        <v>38</v>
      </c>
      <c r="C66" s="8" t="s">
        <v>335</v>
      </c>
      <c r="D66" s="8" t="s">
        <v>336</v>
      </c>
      <c r="E66" s="8" t="s">
        <v>337</v>
      </c>
      <c r="F66" s="8"/>
      <c r="G66" s="8" t="n">
        <v>5</v>
      </c>
      <c r="H66" s="13" t="n">
        <v>46332</v>
      </c>
      <c r="I66" s="8" t="s">
        <v>23</v>
      </c>
      <c r="J66" s="14"/>
      <c r="K66" s="15"/>
      <c r="L66" s="14"/>
      <c r="M66" s="14"/>
      <c r="N66" s="14"/>
    </row>
    <row r="67" customFormat="false" ht="15" hidden="false" customHeight="false" outlineLevel="0" collapsed="false">
      <c r="A67" s="8" t="s">
        <v>338</v>
      </c>
      <c r="B67" s="8" t="s">
        <v>38</v>
      </c>
      <c r="C67" s="8" t="s">
        <v>335</v>
      </c>
      <c r="D67" s="8" t="s">
        <v>339</v>
      </c>
      <c r="E67" s="8" t="s">
        <v>340</v>
      </c>
      <c r="F67" s="8"/>
      <c r="G67" s="8" t="n">
        <v>5</v>
      </c>
      <c r="H67" s="13" t="n">
        <v>46332</v>
      </c>
      <c r="I67" s="8"/>
      <c r="J67" s="14"/>
      <c r="K67" s="15"/>
      <c r="L67" s="14"/>
      <c r="M67" s="14"/>
      <c r="N67" s="14"/>
    </row>
    <row r="68" customFormat="false" ht="23.85" hidden="false" customHeight="false" outlineLevel="0" collapsed="false">
      <c r="A68" s="8" t="s">
        <v>341</v>
      </c>
      <c r="B68" s="8" t="s">
        <v>38</v>
      </c>
      <c r="C68" s="8" t="s">
        <v>335</v>
      </c>
      <c r="D68" s="8" t="s">
        <v>342</v>
      </c>
      <c r="E68" s="8" t="s">
        <v>343</v>
      </c>
      <c r="F68" s="8" t="s">
        <v>211</v>
      </c>
      <c r="G68" s="8" t="n">
        <v>5</v>
      </c>
      <c r="H68" s="13" t="n">
        <v>46332</v>
      </c>
      <c r="I68" s="8" t="s">
        <v>23</v>
      </c>
      <c r="J68" s="14"/>
      <c r="K68" s="15"/>
      <c r="L68" s="14"/>
      <c r="M68" s="14"/>
      <c r="N68" s="14"/>
    </row>
    <row r="69" customFormat="false" ht="23.85" hidden="false" customHeight="false" outlineLevel="0" collapsed="false">
      <c r="A69" s="8" t="s">
        <v>344</v>
      </c>
      <c r="B69" s="8" t="s">
        <v>38</v>
      </c>
      <c r="C69" s="8" t="s">
        <v>335</v>
      </c>
      <c r="D69" s="8" t="s">
        <v>345</v>
      </c>
      <c r="E69" s="8" t="s">
        <v>346</v>
      </c>
      <c r="F69" s="8"/>
      <c r="G69" s="8" t="n">
        <v>5</v>
      </c>
      <c r="H69" s="13" t="n">
        <v>46332</v>
      </c>
      <c r="I69" s="8"/>
      <c r="J69" s="14"/>
      <c r="K69" s="15"/>
      <c r="L69" s="14"/>
      <c r="M69" s="14"/>
      <c r="N69" s="14"/>
    </row>
    <row r="70" customFormat="false" ht="23.85" hidden="false" customHeight="false" outlineLevel="0" collapsed="false">
      <c r="A70" s="8" t="s">
        <v>347</v>
      </c>
      <c r="B70" s="8" t="s">
        <v>38</v>
      </c>
      <c r="C70" s="8" t="s">
        <v>335</v>
      </c>
      <c r="D70" s="8" t="s">
        <v>348</v>
      </c>
      <c r="E70" s="8" t="s">
        <v>349</v>
      </c>
      <c r="F70" s="8" t="s">
        <v>211</v>
      </c>
      <c r="G70" s="8" t="n">
        <v>5</v>
      </c>
      <c r="H70" s="13" t="n">
        <v>46332</v>
      </c>
      <c r="I70" s="8"/>
      <c r="J70" s="14"/>
      <c r="K70" s="15"/>
      <c r="L70" s="14"/>
      <c r="M70" s="14"/>
      <c r="N70" s="14"/>
    </row>
    <row r="71" customFormat="false" ht="23.85" hidden="false" customHeight="false" outlineLevel="0" collapsed="false">
      <c r="A71" s="8" t="s">
        <v>350</v>
      </c>
      <c r="B71" s="8" t="s">
        <v>38</v>
      </c>
      <c r="C71" s="8" t="s">
        <v>335</v>
      </c>
      <c r="D71" s="8" t="s">
        <v>351</v>
      </c>
      <c r="E71" s="8" t="s">
        <v>352</v>
      </c>
      <c r="F71" s="8"/>
      <c r="G71" s="8" t="n">
        <v>5</v>
      </c>
      <c r="H71" s="13" t="n">
        <v>46332</v>
      </c>
      <c r="I71" s="8"/>
      <c r="J71" s="14"/>
      <c r="K71" s="15"/>
      <c r="L71" s="14"/>
      <c r="M71" s="14"/>
      <c r="N71" s="14"/>
    </row>
    <row r="72" customFormat="false" ht="23.85" hidden="false" customHeight="false" outlineLevel="0" collapsed="false">
      <c r="A72" s="8" t="s">
        <v>353</v>
      </c>
      <c r="B72" s="8" t="s">
        <v>38</v>
      </c>
      <c r="C72" s="8" t="s">
        <v>354</v>
      </c>
      <c r="D72" s="8" t="s">
        <v>355</v>
      </c>
      <c r="E72" s="8" t="s">
        <v>356</v>
      </c>
      <c r="F72" s="8"/>
      <c r="G72" s="8" t="n">
        <v>5</v>
      </c>
      <c r="H72" s="13" t="n">
        <v>46332</v>
      </c>
      <c r="I72" s="8"/>
      <c r="J72" s="14"/>
      <c r="K72" s="15"/>
      <c r="L72" s="14"/>
      <c r="M72" s="14"/>
      <c r="N72" s="14"/>
    </row>
    <row r="73" customFormat="false" ht="23.85" hidden="false" customHeight="false" outlineLevel="0" collapsed="false">
      <c r="A73" s="8" t="s">
        <v>357</v>
      </c>
      <c r="B73" s="8" t="s">
        <v>38</v>
      </c>
      <c r="C73" s="8" t="s">
        <v>354</v>
      </c>
      <c r="D73" s="8" t="s">
        <v>358</v>
      </c>
      <c r="E73" s="8" t="s">
        <v>359</v>
      </c>
      <c r="F73" s="8"/>
      <c r="G73" s="8" t="n">
        <v>5</v>
      </c>
      <c r="H73" s="13" t="n">
        <v>46332</v>
      </c>
      <c r="I73" s="8"/>
      <c r="J73" s="14"/>
      <c r="K73" s="15"/>
      <c r="L73" s="14"/>
      <c r="M73" s="14"/>
      <c r="N73" s="14"/>
    </row>
    <row r="74" customFormat="false" ht="23.85" hidden="false" customHeight="false" outlineLevel="0" collapsed="false">
      <c r="A74" s="8" t="s">
        <v>360</v>
      </c>
      <c r="B74" s="8" t="s">
        <v>38</v>
      </c>
      <c r="C74" s="8" t="s">
        <v>361</v>
      </c>
      <c r="D74" s="8" t="s">
        <v>362</v>
      </c>
      <c r="E74" s="8" t="s">
        <v>363</v>
      </c>
      <c r="F74" s="8" t="s">
        <v>121</v>
      </c>
      <c r="G74" s="8" t="n">
        <v>5</v>
      </c>
      <c r="H74" s="13" t="n">
        <v>46332</v>
      </c>
      <c r="I74" s="8"/>
      <c r="J74" s="14"/>
      <c r="K74" s="15"/>
      <c r="L74" s="14"/>
      <c r="M74" s="14"/>
      <c r="N74" s="14"/>
    </row>
    <row r="75" customFormat="false" ht="35.05" hidden="false" customHeight="false" outlineLevel="0" collapsed="false">
      <c r="A75" s="8" t="s">
        <v>364</v>
      </c>
      <c r="B75" s="8" t="s">
        <v>38</v>
      </c>
      <c r="C75" s="8" t="s">
        <v>365</v>
      </c>
      <c r="D75" s="8" t="s">
        <v>366</v>
      </c>
      <c r="E75" s="8" t="s">
        <v>367</v>
      </c>
      <c r="F75" s="8" t="s">
        <v>368</v>
      </c>
      <c r="G75" s="8" t="n">
        <v>5</v>
      </c>
      <c r="H75" s="13" t="n">
        <v>46332</v>
      </c>
      <c r="I75" s="8"/>
      <c r="J75" s="14"/>
      <c r="K75" s="15"/>
      <c r="L75" s="14"/>
      <c r="M75" s="14"/>
      <c r="N75" s="14"/>
    </row>
    <row r="76" customFormat="false" ht="23.85" hidden="false" customHeight="false" outlineLevel="0" collapsed="false">
      <c r="A76" s="8" t="s">
        <v>369</v>
      </c>
      <c r="B76" s="8" t="s">
        <v>38</v>
      </c>
      <c r="C76" s="8" t="s">
        <v>370</v>
      </c>
      <c r="D76" s="8" t="s">
        <v>371</v>
      </c>
      <c r="E76" s="8" t="s">
        <v>372</v>
      </c>
      <c r="F76" s="8" t="s">
        <v>373</v>
      </c>
      <c r="G76" s="8" t="n">
        <v>5</v>
      </c>
      <c r="H76" s="13" t="n">
        <v>46332</v>
      </c>
      <c r="I76" s="8"/>
      <c r="J76" s="14"/>
      <c r="K76" s="15"/>
      <c r="L76" s="14"/>
      <c r="M76" s="14"/>
      <c r="N76" s="14"/>
    </row>
    <row r="77" customFormat="false" ht="23.85" hidden="false" customHeight="false" outlineLevel="0" collapsed="false">
      <c r="A77" s="8" t="s">
        <v>374</v>
      </c>
      <c r="B77" s="8" t="s">
        <v>38</v>
      </c>
      <c r="C77" s="8" t="s">
        <v>375</v>
      </c>
      <c r="D77" s="8" t="s">
        <v>376</v>
      </c>
      <c r="E77" s="8" t="s">
        <v>377</v>
      </c>
      <c r="F77" s="8" t="s">
        <v>190</v>
      </c>
      <c r="G77" s="8" t="n">
        <v>5</v>
      </c>
      <c r="H77" s="13" t="n">
        <v>46332</v>
      </c>
      <c r="I77" s="8"/>
      <c r="J77" s="14"/>
      <c r="K77" s="15"/>
      <c r="L77" s="14"/>
      <c r="M77" s="14"/>
      <c r="N77" s="14"/>
    </row>
    <row r="78" customFormat="false" ht="35.05" hidden="false" customHeight="false" outlineLevel="0" collapsed="false">
      <c r="A78" s="8" t="s">
        <v>378</v>
      </c>
      <c r="B78" s="8" t="s">
        <v>38</v>
      </c>
      <c r="C78" s="8" t="s">
        <v>379</v>
      </c>
      <c r="D78" s="8" t="s">
        <v>380</v>
      </c>
      <c r="E78" s="8" t="s">
        <v>381</v>
      </c>
      <c r="F78" s="8"/>
      <c r="G78" s="8" t="n">
        <v>5</v>
      </c>
      <c r="H78" s="13" t="n">
        <v>46332</v>
      </c>
      <c r="I78" s="8"/>
      <c r="J78" s="14"/>
      <c r="K78" s="15"/>
      <c r="L78" s="14"/>
      <c r="M78" s="14"/>
      <c r="N78" s="14"/>
    </row>
    <row r="79" customFormat="false" ht="35.05" hidden="false" customHeight="false" outlineLevel="0" collapsed="false">
      <c r="A79" s="8" t="s">
        <v>382</v>
      </c>
      <c r="B79" s="8" t="s">
        <v>38</v>
      </c>
      <c r="C79" s="8" t="s">
        <v>383</v>
      </c>
      <c r="D79" s="8" t="s">
        <v>384</v>
      </c>
      <c r="E79" s="8" t="s">
        <v>385</v>
      </c>
      <c r="F79" s="8" t="s">
        <v>386</v>
      </c>
      <c r="G79" s="8" t="n">
        <v>5</v>
      </c>
      <c r="H79" s="13" t="n">
        <v>46332</v>
      </c>
      <c r="I79" s="8"/>
      <c r="J79" s="14"/>
      <c r="K79" s="15"/>
      <c r="L79" s="14"/>
      <c r="M79" s="14"/>
      <c r="N79" s="14"/>
    </row>
    <row r="80" customFormat="false" ht="23.85" hidden="false" customHeight="false" outlineLevel="0" collapsed="false">
      <c r="A80" s="8" t="s">
        <v>387</v>
      </c>
      <c r="B80" s="8" t="s">
        <v>39</v>
      </c>
      <c r="C80" s="8" t="s">
        <v>388</v>
      </c>
      <c r="D80" s="8" t="s">
        <v>389</v>
      </c>
      <c r="E80" s="8" t="s">
        <v>390</v>
      </c>
      <c r="F80" s="8" t="s">
        <v>121</v>
      </c>
      <c r="G80" s="8" t="n">
        <v>6</v>
      </c>
      <c r="H80" s="13" t="n">
        <v>46335</v>
      </c>
      <c r="I80" s="8" t="s">
        <v>23</v>
      </c>
      <c r="J80" s="14"/>
      <c r="K80" s="15"/>
      <c r="L80" s="14"/>
      <c r="M80" s="14"/>
      <c r="N80" s="14"/>
    </row>
    <row r="81" customFormat="false" ht="23.85" hidden="false" customHeight="false" outlineLevel="0" collapsed="false">
      <c r="A81" s="8" t="s">
        <v>391</v>
      </c>
      <c r="B81" s="8" t="s">
        <v>39</v>
      </c>
      <c r="C81" s="8" t="s">
        <v>388</v>
      </c>
      <c r="D81" s="8" t="s">
        <v>392</v>
      </c>
      <c r="E81" s="8" t="s">
        <v>148</v>
      </c>
      <c r="F81" s="8" t="s">
        <v>121</v>
      </c>
      <c r="G81" s="8" t="n">
        <v>6</v>
      </c>
      <c r="H81" s="13" t="n">
        <v>46335</v>
      </c>
      <c r="I81" s="8"/>
      <c r="J81" s="14"/>
      <c r="K81" s="15"/>
      <c r="L81" s="14"/>
      <c r="M81" s="14"/>
      <c r="N81" s="14"/>
    </row>
    <row r="82" customFormat="false" ht="15" hidden="false" customHeight="false" outlineLevel="0" collapsed="false">
      <c r="A82" s="8" t="s">
        <v>393</v>
      </c>
      <c r="B82" s="8" t="s">
        <v>39</v>
      </c>
      <c r="C82" s="8" t="s">
        <v>388</v>
      </c>
      <c r="D82" s="8" t="s">
        <v>394</v>
      </c>
      <c r="E82" s="8" t="s">
        <v>395</v>
      </c>
      <c r="F82" s="8" t="s">
        <v>121</v>
      </c>
      <c r="G82" s="8" t="n">
        <v>6</v>
      </c>
      <c r="H82" s="13" t="n">
        <v>46335</v>
      </c>
      <c r="I82" s="8"/>
      <c r="J82" s="14"/>
      <c r="K82" s="15"/>
      <c r="L82" s="14"/>
      <c r="M82" s="14"/>
      <c r="N82" s="14"/>
    </row>
    <row r="83" customFormat="false" ht="23.85" hidden="false" customHeight="false" outlineLevel="0" collapsed="false">
      <c r="A83" s="8" t="s">
        <v>396</v>
      </c>
      <c r="B83" s="8" t="s">
        <v>39</v>
      </c>
      <c r="C83" s="8" t="s">
        <v>397</v>
      </c>
      <c r="D83" s="8" t="s">
        <v>398</v>
      </c>
      <c r="E83" s="8" t="s">
        <v>399</v>
      </c>
      <c r="F83" s="8" t="s">
        <v>121</v>
      </c>
      <c r="G83" s="8" t="n">
        <v>6</v>
      </c>
      <c r="H83" s="13" t="n">
        <v>46335</v>
      </c>
      <c r="I83" s="8"/>
      <c r="J83" s="14"/>
      <c r="K83" s="15"/>
      <c r="L83" s="14"/>
      <c r="M83" s="14"/>
      <c r="N83" s="14"/>
    </row>
    <row r="84" customFormat="false" ht="23.85" hidden="false" customHeight="false" outlineLevel="0" collapsed="false">
      <c r="A84" s="8" t="s">
        <v>400</v>
      </c>
      <c r="B84" s="8" t="s">
        <v>39</v>
      </c>
      <c r="C84" s="8" t="s">
        <v>397</v>
      </c>
      <c r="D84" s="8" t="s">
        <v>401</v>
      </c>
      <c r="E84" s="8" t="s">
        <v>402</v>
      </c>
      <c r="F84" s="8" t="s">
        <v>121</v>
      </c>
      <c r="G84" s="8" t="n">
        <v>6</v>
      </c>
      <c r="H84" s="13" t="n">
        <v>46335</v>
      </c>
      <c r="I84" s="8" t="s">
        <v>23</v>
      </c>
      <c r="J84" s="14"/>
      <c r="K84" s="15"/>
      <c r="L84" s="14"/>
      <c r="M84" s="14"/>
      <c r="N84" s="14"/>
    </row>
    <row r="85" customFormat="false" ht="23.85" hidden="false" customHeight="false" outlineLevel="0" collapsed="false">
      <c r="A85" s="8" t="s">
        <v>403</v>
      </c>
      <c r="B85" s="8" t="s">
        <v>39</v>
      </c>
      <c r="C85" s="8" t="s">
        <v>397</v>
      </c>
      <c r="D85" s="8" t="s">
        <v>404</v>
      </c>
      <c r="E85" s="8" t="s">
        <v>405</v>
      </c>
      <c r="F85" s="8" t="s">
        <v>121</v>
      </c>
      <c r="G85" s="8" t="n">
        <v>6</v>
      </c>
      <c r="H85" s="13" t="n">
        <v>46335</v>
      </c>
      <c r="I85" s="8"/>
      <c r="J85" s="14"/>
      <c r="K85" s="15"/>
      <c r="L85" s="14"/>
      <c r="M85" s="14"/>
      <c r="N85" s="14"/>
    </row>
    <row r="86" customFormat="false" ht="23.85" hidden="false" customHeight="false" outlineLevel="0" collapsed="false">
      <c r="A86" s="8" t="s">
        <v>406</v>
      </c>
      <c r="B86" s="8" t="s">
        <v>39</v>
      </c>
      <c r="C86" s="8" t="s">
        <v>397</v>
      </c>
      <c r="D86" s="8" t="s">
        <v>407</v>
      </c>
      <c r="E86" s="8" t="s">
        <v>408</v>
      </c>
      <c r="F86" s="8" t="s">
        <v>121</v>
      </c>
      <c r="G86" s="8" t="n">
        <v>6</v>
      </c>
      <c r="H86" s="13" t="n">
        <v>46335</v>
      </c>
      <c r="I86" s="8"/>
      <c r="J86" s="14"/>
      <c r="K86" s="15"/>
      <c r="L86" s="14"/>
      <c r="M86" s="14"/>
      <c r="N86" s="14"/>
    </row>
    <row r="87" customFormat="false" ht="23.85" hidden="false" customHeight="false" outlineLevel="0" collapsed="false">
      <c r="A87" s="8" t="s">
        <v>409</v>
      </c>
      <c r="B87" s="8" t="s">
        <v>39</v>
      </c>
      <c r="C87" s="8" t="s">
        <v>410</v>
      </c>
      <c r="D87" s="8" t="s">
        <v>411</v>
      </c>
      <c r="E87" s="8" t="s">
        <v>412</v>
      </c>
      <c r="F87" s="8" t="s">
        <v>121</v>
      </c>
      <c r="G87" s="8" t="n">
        <v>6</v>
      </c>
      <c r="H87" s="13" t="n">
        <v>46335</v>
      </c>
      <c r="I87" s="8" t="s">
        <v>23</v>
      </c>
      <c r="J87" s="14"/>
      <c r="K87" s="15"/>
      <c r="L87" s="14"/>
      <c r="M87" s="14"/>
      <c r="N87" s="14"/>
    </row>
    <row r="88" customFormat="false" ht="23.85" hidden="false" customHeight="false" outlineLevel="0" collapsed="false">
      <c r="A88" s="8" t="s">
        <v>413</v>
      </c>
      <c r="B88" s="8" t="s">
        <v>39</v>
      </c>
      <c r="C88" s="8" t="s">
        <v>410</v>
      </c>
      <c r="D88" s="8" t="s">
        <v>414</v>
      </c>
      <c r="E88" s="8" t="s">
        <v>415</v>
      </c>
      <c r="F88" s="8" t="s">
        <v>121</v>
      </c>
      <c r="G88" s="8" t="n">
        <v>6</v>
      </c>
      <c r="H88" s="13" t="n">
        <v>46335</v>
      </c>
      <c r="I88" s="8"/>
      <c r="J88" s="14"/>
      <c r="K88" s="15"/>
      <c r="L88" s="14"/>
      <c r="M88" s="14"/>
      <c r="N88" s="14"/>
    </row>
    <row r="89" customFormat="false" ht="23.85" hidden="false" customHeight="false" outlineLevel="0" collapsed="false">
      <c r="A89" s="8" t="s">
        <v>416</v>
      </c>
      <c r="B89" s="8" t="s">
        <v>39</v>
      </c>
      <c r="C89" s="8" t="s">
        <v>410</v>
      </c>
      <c r="D89" s="8" t="s">
        <v>417</v>
      </c>
      <c r="E89" s="8" t="s">
        <v>418</v>
      </c>
      <c r="F89" s="8" t="s">
        <v>121</v>
      </c>
      <c r="G89" s="8" t="n">
        <v>6</v>
      </c>
      <c r="H89" s="13" t="n">
        <v>46335</v>
      </c>
      <c r="I89" s="8"/>
      <c r="J89" s="14"/>
      <c r="K89" s="15"/>
      <c r="L89" s="14"/>
      <c r="M89" s="14"/>
      <c r="N89" s="14"/>
    </row>
    <row r="90" customFormat="false" ht="23.85" hidden="false" customHeight="false" outlineLevel="0" collapsed="false">
      <c r="A90" s="8" t="s">
        <v>419</v>
      </c>
      <c r="B90" s="8" t="s">
        <v>39</v>
      </c>
      <c r="C90" s="8" t="s">
        <v>420</v>
      </c>
      <c r="D90" s="8" t="s">
        <v>421</v>
      </c>
      <c r="E90" s="8" t="s">
        <v>422</v>
      </c>
      <c r="F90" s="8" t="s">
        <v>121</v>
      </c>
      <c r="G90" s="8" t="n">
        <v>6</v>
      </c>
      <c r="H90" s="13" t="n">
        <v>46335</v>
      </c>
      <c r="I90" s="8" t="s">
        <v>23</v>
      </c>
      <c r="J90" s="14"/>
      <c r="K90" s="15"/>
      <c r="L90" s="14"/>
      <c r="M90" s="14"/>
      <c r="N90" s="14"/>
    </row>
    <row r="91" customFormat="false" ht="15" hidden="false" customHeight="false" outlineLevel="0" collapsed="false">
      <c r="A91" s="8" t="s">
        <v>423</v>
      </c>
      <c r="B91" s="8" t="s">
        <v>39</v>
      </c>
      <c r="C91" s="8" t="s">
        <v>420</v>
      </c>
      <c r="D91" s="8" t="s">
        <v>424</v>
      </c>
      <c r="E91" s="8" t="s">
        <v>425</v>
      </c>
      <c r="F91" s="8" t="s">
        <v>121</v>
      </c>
      <c r="G91" s="8" t="n">
        <v>6</v>
      </c>
      <c r="H91" s="13" t="n">
        <v>46335</v>
      </c>
      <c r="I91" s="8"/>
      <c r="J91" s="14"/>
      <c r="K91" s="15"/>
      <c r="L91" s="14"/>
      <c r="M91" s="14"/>
      <c r="N91" s="14"/>
    </row>
    <row r="92" customFormat="false" ht="23.85" hidden="false" customHeight="false" outlineLevel="0" collapsed="false">
      <c r="A92" s="8" t="s">
        <v>426</v>
      </c>
      <c r="B92" s="8" t="s">
        <v>39</v>
      </c>
      <c r="C92" s="8" t="s">
        <v>427</v>
      </c>
      <c r="D92" s="8" t="s">
        <v>428</v>
      </c>
      <c r="E92" s="8" t="s">
        <v>429</v>
      </c>
      <c r="F92" s="8" t="s">
        <v>430</v>
      </c>
      <c r="G92" s="8" t="n">
        <v>6</v>
      </c>
      <c r="H92" s="13" t="n">
        <v>46335</v>
      </c>
      <c r="I92" s="8"/>
      <c r="J92" s="14"/>
      <c r="K92" s="15"/>
      <c r="L92" s="14"/>
      <c r="M92" s="14"/>
      <c r="N92" s="14"/>
    </row>
    <row r="93" customFormat="false" ht="23.85" hidden="false" customHeight="false" outlineLevel="0" collapsed="false">
      <c r="A93" s="8" t="s">
        <v>431</v>
      </c>
      <c r="B93" s="8" t="s">
        <v>39</v>
      </c>
      <c r="C93" s="8" t="s">
        <v>432</v>
      </c>
      <c r="D93" s="8" t="s">
        <v>433</v>
      </c>
      <c r="E93" s="8" t="s">
        <v>434</v>
      </c>
      <c r="F93" s="8" t="s">
        <v>435</v>
      </c>
      <c r="G93" s="8" t="n">
        <v>6</v>
      </c>
      <c r="H93" s="13" t="n">
        <v>46335</v>
      </c>
      <c r="I93" s="8"/>
      <c r="J93" s="14"/>
      <c r="K93" s="15"/>
      <c r="L93" s="14"/>
      <c r="M93" s="14"/>
      <c r="N93" s="14"/>
    </row>
    <row r="94" customFormat="false" ht="15" hidden="false" customHeight="false" outlineLevel="0" collapsed="false">
      <c r="A94" s="8" t="s">
        <v>436</v>
      </c>
      <c r="B94" s="8" t="s">
        <v>39</v>
      </c>
      <c r="C94" s="8" t="s">
        <v>432</v>
      </c>
      <c r="D94" s="8" t="s">
        <v>437</v>
      </c>
      <c r="E94" s="8" t="s">
        <v>438</v>
      </c>
      <c r="F94" s="8" t="s">
        <v>121</v>
      </c>
      <c r="G94" s="8" t="n">
        <v>6</v>
      </c>
      <c r="H94" s="13" t="n">
        <v>46335</v>
      </c>
      <c r="I94" s="8"/>
      <c r="J94" s="14"/>
      <c r="K94" s="15"/>
      <c r="L94" s="14"/>
      <c r="M94" s="14"/>
      <c r="N94" s="14"/>
    </row>
    <row r="95" customFormat="false" ht="23.85" hidden="false" customHeight="false" outlineLevel="0" collapsed="false">
      <c r="A95" s="8" t="s">
        <v>439</v>
      </c>
      <c r="B95" s="8" t="s">
        <v>39</v>
      </c>
      <c r="C95" s="8" t="s">
        <v>397</v>
      </c>
      <c r="D95" s="8" t="s">
        <v>440</v>
      </c>
      <c r="E95" s="8" t="s">
        <v>441</v>
      </c>
      <c r="F95" s="8" t="s">
        <v>121</v>
      </c>
      <c r="G95" s="8" t="n">
        <v>6</v>
      </c>
      <c r="H95" s="13" t="n">
        <v>46335</v>
      </c>
      <c r="I95" s="8"/>
      <c r="J95" s="14"/>
      <c r="K95" s="15"/>
      <c r="L95" s="14"/>
      <c r="M95" s="14"/>
      <c r="N95" s="14"/>
    </row>
    <row r="96" customFormat="false" ht="15" hidden="false" customHeight="false" outlineLevel="0" collapsed="false">
      <c r="A96" s="8" t="s">
        <v>442</v>
      </c>
      <c r="B96" s="8" t="s">
        <v>39</v>
      </c>
      <c r="C96" s="8" t="s">
        <v>397</v>
      </c>
      <c r="D96" s="8" t="s">
        <v>443</v>
      </c>
      <c r="E96" s="8" t="s">
        <v>444</v>
      </c>
      <c r="F96" s="8" t="s">
        <v>121</v>
      </c>
      <c r="G96" s="8" t="n">
        <v>6</v>
      </c>
      <c r="H96" s="13" t="n">
        <v>46335</v>
      </c>
      <c r="I96" s="8"/>
      <c r="J96" s="14"/>
      <c r="K96" s="15"/>
      <c r="L96" s="14"/>
      <c r="M96" s="14"/>
      <c r="N96" s="14"/>
    </row>
    <row r="97" customFormat="false" ht="15" hidden="false" customHeight="false" outlineLevel="0" collapsed="false">
      <c r="A97" s="8" t="s">
        <v>445</v>
      </c>
      <c r="B97" s="8" t="s">
        <v>39</v>
      </c>
      <c r="C97" s="8" t="s">
        <v>397</v>
      </c>
      <c r="D97" s="8" t="s">
        <v>446</v>
      </c>
      <c r="E97" s="8" t="s">
        <v>447</v>
      </c>
      <c r="F97" s="8" t="s">
        <v>121</v>
      </c>
      <c r="G97" s="8" t="n">
        <v>6</v>
      </c>
      <c r="H97" s="13" t="n">
        <v>46335</v>
      </c>
      <c r="I97" s="8"/>
      <c r="J97" s="14"/>
      <c r="K97" s="15"/>
      <c r="L97" s="14"/>
      <c r="M97" s="14"/>
      <c r="N97" s="14"/>
    </row>
    <row r="98" customFormat="false" ht="15" hidden="false" customHeight="false" outlineLevel="0" collapsed="false">
      <c r="A98" s="8" t="s">
        <v>448</v>
      </c>
      <c r="B98" s="8" t="s">
        <v>39</v>
      </c>
      <c r="C98" s="8" t="s">
        <v>397</v>
      </c>
      <c r="D98" s="8" t="s">
        <v>449</v>
      </c>
      <c r="E98" s="8" t="s">
        <v>450</v>
      </c>
      <c r="F98" s="8" t="s">
        <v>121</v>
      </c>
      <c r="G98" s="8" t="n">
        <v>6</v>
      </c>
      <c r="H98" s="13" t="n">
        <v>46335</v>
      </c>
      <c r="I98" s="8"/>
      <c r="J98" s="14"/>
      <c r="K98" s="15"/>
      <c r="L98" s="14"/>
      <c r="M98" s="14"/>
      <c r="N98" s="14"/>
    </row>
    <row r="99" customFormat="false" ht="23.85" hidden="false" customHeight="false" outlineLevel="0" collapsed="false">
      <c r="A99" s="8" t="s">
        <v>451</v>
      </c>
      <c r="B99" s="8" t="s">
        <v>39</v>
      </c>
      <c r="C99" s="8" t="s">
        <v>452</v>
      </c>
      <c r="D99" s="8" t="s">
        <v>453</v>
      </c>
      <c r="E99" s="8" t="s">
        <v>454</v>
      </c>
      <c r="F99" s="8" t="s">
        <v>455</v>
      </c>
      <c r="G99" s="8" t="n">
        <v>6</v>
      </c>
      <c r="H99" s="13" t="n">
        <v>46335</v>
      </c>
      <c r="I99" s="8"/>
      <c r="J99" s="14"/>
      <c r="K99" s="15"/>
      <c r="L99" s="14"/>
      <c r="M99" s="14"/>
      <c r="N99" s="14"/>
    </row>
    <row r="100" customFormat="false" ht="35.05" hidden="false" customHeight="false" outlineLevel="0" collapsed="false">
      <c r="A100" s="8" t="s">
        <v>456</v>
      </c>
      <c r="B100" s="8" t="s">
        <v>40</v>
      </c>
      <c r="C100" s="8" t="s">
        <v>457</v>
      </c>
      <c r="D100" s="8" t="s">
        <v>458</v>
      </c>
      <c r="E100" s="8" t="s">
        <v>459</v>
      </c>
      <c r="F100" s="8"/>
      <c r="G100" s="8" t="n">
        <v>6</v>
      </c>
      <c r="H100" s="13" t="n">
        <v>46335</v>
      </c>
      <c r="I100" s="8" t="s">
        <v>23</v>
      </c>
      <c r="J100" s="14"/>
      <c r="K100" s="15"/>
      <c r="L100" s="14"/>
      <c r="M100" s="14"/>
      <c r="N100" s="14"/>
    </row>
    <row r="101" customFormat="false" ht="35.05" hidden="false" customHeight="false" outlineLevel="0" collapsed="false">
      <c r="A101" s="8" t="s">
        <v>460</v>
      </c>
      <c r="B101" s="8" t="s">
        <v>40</v>
      </c>
      <c r="C101" s="8" t="s">
        <v>457</v>
      </c>
      <c r="D101" s="8" t="s">
        <v>461</v>
      </c>
      <c r="E101" s="8" t="s">
        <v>462</v>
      </c>
      <c r="F101" s="8"/>
      <c r="G101" s="8" t="n">
        <v>6</v>
      </c>
      <c r="H101" s="13" t="n">
        <v>46335</v>
      </c>
      <c r="I101" s="8"/>
      <c r="J101" s="14"/>
      <c r="K101" s="15"/>
      <c r="L101" s="14"/>
      <c r="M101" s="14"/>
      <c r="N101" s="14"/>
    </row>
    <row r="102" customFormat="false" ht="35.05" hidden="false" customHeight="false" outlineLevel="0" collapsed="false">
      <c r="A102" s="8" t="s">
        <v>463</v>
      </c>
      <c r="B102" s="8" t="s">
        <v>40</v>
      </c>
      <c r="C102" s="8" t="s">
        <v>457</v>
      </c>
      <c r="D102" s="8" t="s">
        <v>464</v>
      </c>
      <c r="E102" s="8" t="s">
        <v>465</v>
      </c>
      <c r="F102" s="8" t="s">
        <v>466</v>
      </c>
      <c r="G102" s="8" t="n">
        <v>6</v>
      </c>
      <c r="H102" s="13" t="n">
        <v>46335</v>
      </c>
      <c r="I102" s="8" t="s">
        <v>23</v>
      </c>
      <c r="J102" s="14"/>
      <c r="K102" s="15"/>
      <c r="L102" s="14"/>
      <c r="M102" s="14"/>
      <c r="N102" s="14"/>
    </row>
    <row r="103" customFormat="false" ht="35.05" hidden="false" customHeight="false" outlineLevel="0" collapsed="false">
      <c r="A103" s="8" t="s">
        <v>467</v>
      </c>
      <c r="B103" s="8" t="s">
        <v>40</v>
      </c>
      <c r="C103" s="8" t="s">
        <v>457</v>
      </c>
      <c r="D103" s="8" t="s">
        <v>468</v>
      </c>
      <c r="E103" s="8" t="s">
        <v>469</v>
      </c>
      <c r="F103" s="8" t="s">
        <v>466</v>
      </c>
      <c r="G103" s="8" t="n">
        <v>6</v>
      </c>
      <c r="H103" s="13" t="n">
        <v>46335</v>
      </c>
      <c r="I103" s="8"/>
      <c r="J103" s="14"/>
      <c r="K103" s="15"/>
      <c r="L103" s="14"/>
      <c r="M103" s="14"/>
      <c r="N103" s="14"/>
    </row>
    <row r="104" customFormat="false" ht="35.05" hidden="false" customHeight="false" outlineLevel="0" collapsed="false">
      <c r="A104" s="8" t="s">
        <v>470</v>
      </c>
      <c r="B104" s="8" t="s">
        <v>40</v>
      </c>
      <c r="C104" s="8" t="s">
        <v>457</v>
      </c>
      <c r="D104" s="8" t="s">
        <v>471</v>
      </c>
      <c r="E104" s="8" t="s">
        <v>472</v>
      </c>
      <c r="F104" s="8" t="s">
        <v>240</v>
      </c>
      <c r="G104" s="8" t="n">
        <v>6</v>
      </c>
      <c r="H104" s="13" t="n">
        <v>46335</v>
      </c>
      <c r="I104" s="8"/>
      <c r="J104" s="14"/>
      <c r="K104" s="15"/>
      <c r="L104" s="14"/>
      <c r="M104" s="14"/>
      <c r="N104" s="14"/>
    </row>
    <row r="105" customFormat="false" ht="35.05" hidden="false" customHeight="false" outlineLevel="0" collapsed="false">
      <c r="A105" s="8" t="s">
        <v>473</v>
      </c>
      <c r="B105" s="8" t="s">
        <v>40</v>
      </c>
      <c r="C105" s="8" t="s">
        <v>474</v>
      </c>
      <c r="D105" s="8" t="s">
        <v>475</v>
      </c>
      <c r="E105" s="8" t="s">
        <v>476</v>
      </c>
      <c r="F105" s="8" t="s">
        <v>190</v>
      </c>
      <c r="G105" s="8" t="n">
        <v>6</v>
      </c>
      <c r="H105" s="13" t="n">
        <v>46335</v>
      </c>
      <c r="I105" s="8"/>
      <c r="J105" s="14"/>
      <c r="K105" s="15"/>
      <c r="L105" s="14"/>
      <c r="M105" s="14"/>
      <c r="N105" s="14"/>
    </row>
    <row r="106" customFormat="false" ht="35.05" hidden="false" customHeight="false" outlineLevel="0" collapsed="false">
      <c r="A106" s="8" t="s">
        <v>477</v>
      </c>
      <c r="B106" s="8" t="s">
        <v>40</v>
      </c>
      <c r="C106" s="8" t="s">
        <v>474</v>
      </c>
      <c r="D106" s="8" t="s">
        <v>478</v>
      </c>
      <c r="E106" s="8" t="s">
        <v>479</v>
      </c>
      <c r="F106" s="8" t="s">
        <v>190</v>
      </c>
      <c r="G106" s="8" t="n">
        <v>7</v>
      </c>
      <c r="H106" s="13" t="n">
        <v>46336</v>
      </c>
      <c r="I106" s="8" t="s">
        <v>23</v>
      </c>
      <c r="J106" s="14"/>
      <c r="K106" s="15"/>
      <c r="L106" s="14"/>
      <c r="M106" s="14"/>
      <c r="N106" s="14"/>
    </row>
    <row r="107" customFormat="false" ht="35.05" hidden="false" customHeight="false" outlineLevel="0" collapsed="false">
      <c r="A107" s="8" t="s">
        <v>480</v>
      </c>
      <c r="B107" s="8" t="s">
        <v>40</v>
      </c>
      <c r="C107" s="8" t="s">
        <v>481</v>
      </c>
      <c r="D107" s="8" t="s">
        <v>482</v>
      </c>
      <c r="E107" s="8" t="s">
        <v>483</v>
      </c>
      <c r="F107" s="8"/>
      <c r="G107" s="8" t="n">
        <v>7</v>
      </c>
      <c r="H107" s="13" t="n">
        <v>46336</v>
      </c>
      <c r="I107" s="8"/>
      <c r="J107" s="14"/>
      <c r="K107" s="15"/>
      <c r="L107" s="14"/>
      <c r="M107" s="14"/>
      <c r="N107" s="14"/>
    </row>
    <row r="108" customFormat="false" ht="35.05" hidden="false" customHeight="false" outlineLevel="0" collapsed="false">
      <c r="A108" s="8" t="s">
        <v>484</v>
      </c>
      <c r="B108" s="8" t="s">
        <v>40</v>
      </c>
      <c r="C108" s="8" t="s">
        <v>485</v>
      </c>
      <c r="D108" s="8" t="s">
        <v>486</v>
      </c>
      <c r="E108" s="8" t="s">
        <v>487</v>
      </c>
      <c r="F108" s="8"/>
      <c r="G108" s="8" t="n">
        <v>7</v>
      </c>
      <c r="H108" s="13" t="n">
        <v>46336</v>
      </c>
      <c r="I108" s="8"/>
      <c r="J108" s="14"/>
      <c r="K108" s="15"/>
      <c r="L108" s="14"/>
      <c r="M108" s="14"/>
      <c r="N108" s="14"/>
    </row>
    <row r="109" customFormat="false" ht="35.05" hidden="false" customHeight="false" outlineLevel="0" collapsed="false">
      <c r="A109" s="8" t="s">
        <v>488</v>
      </c>
      <c r="B109" s="8" t="s">
        <v>40</v>
      </c>
      <c r="C109" s="8" t="s">
        <v>489</v>
      </c>
      <c r="D109" s="8" t="s">
        <v>490</v>
      </c>
      <c r="E109" s="8" t="s">
        <v>491</v>
      </c>
      <c r="F109" s="8"/>
      <c r="G109" s="8" t="n">
        <v>7</v>
      </c>
      <c r="H109" s="13" t="n">
        <v>46336</v>
      </c>
      <c r="I109" s="8"/>
      <c r="J109" s="14"/>
      <c r="K109" s="15"/>
      <c r="L109" s="14"/>
      <c r="M109" s="14"/>
      <c r="N109" s="14"/>
    </row>
    <row r="110" customFormat="false" ht="35.05" hidden="false" customHeight="false" outlineLevel="0" collapsed="false">
      <c r="A110" s="8" t="s">
        <v>492</v>
      </c>
      <c r="B110" s="8" t="s">
        <v>40</v>
      </c>
      <c r="C110" s="8" t="s">
        <v>493</v>
      </c>
      <c r="D110" s="8" t="s">
        <v>494</v>
      </c>
      <c r="E110" s="8" t="s">
        <v>495</v>
      </c>
      <c r="F110" s="8"/>
      <c r="G110" s="8" t="n">
        <v>7</v>
      </c>
      <c r="H110" s="13" t="n">
        <v>46336</v>
      </c>
      <c r="I110" s="8"/>
      <c r="J110" s="14"/>
      <c r="K110" s="15"/>
      <c r="L110" s="14"/>
      <c r="M110" s="14"/>
      <c r="N110" s="14"/>
    </row>
    <row r="111" customFormat="false" ht="35.05" hidden="false" customHeight="false" outlineLevel="0" collapsed="false">
      <c r="A111" s="8" t="s">
        <v>496</v>
      </c>
      <c r="B111" s="8" t="s">
        <v>40</v>
      </c>
      <c r="C111" s="8" t="s">
        <v>497</v>
      </c>
      <c r="D111" s="8" t="s">
        <v>498</v>
      </c>
      <c r="E111" s="8" t="s">
        <v>499</v>
      </c>
      <c r="F111" s="8"/>
      <c r="G111" s="8" t="n">
        <v>7</v>
      </c>
      <c r="H111" s="13" t="n">
        <v>46336</v>
      </c>
      <c r="I111" s="8"/>
      <c r="J111" s="14"/>
      <c r="K111" s="15"/>
      <c r="L111" s="14"/>
      <c r="M111" s="14"/>
      <c r="N111" s="14"/>
    </row>
    <row r="112" customFormat="false" ht="35.05" hidden="false" customHeight="false" outlineLevel="0" collapsed="false">
      <c r="A112" s="8" t="s">
        <v>500</v>
      </c>
      <c r="B112" s="8" t="s">
        <v>40</v>
      </c>
      <c r="C112" s="8" t="s">
        <v>497</v>
      </c>
      <c r="D112" s="8" t="s">
        <v>501</v>
      </c>
      <c r="E112" s="8" t="s">
        <v>502</v>
      </c>
      <c r="F112" s="8"/>
      <c r="G112" s="8" t="n">
        <v>7</v>
      </c>
      <c r="H112" s="13" t="n">
        <v>46336</v>
      </c>
      <c r="I112" s="8"/>
      <c r="J112" s="14"/>
      <c r="K112" s="15"/>
      <c r="L112" s="14"/>
      <c r="M112" s="14"/>
      <c r="N112" s="14"/>
    </row>
    <row r="113" customFormat="false" ht="35.05" hidden="false" customHeight="false" outlineLevel="0" collapsed="false">
      <c r="A113" s="8" t="s">
        <v>503</v>
      </c>
      <c r="B113" s="8" t="s">
        <v>40</v>
      </c>
      <c r="C113" s="8" t="s">
        <v>504</v>
      </c>
      <c r="D113" s="8" t="s">
        <v>505</v>
      </c>
      <c r="E113" s="8" t="s">
        <v>506</v>
      </c>
      <c r="F113" s="8"/>
      <c r="G113" s="8" t="n">
        <v>7</v>
      </c>
      <c r="H113" s="13" t="n">
        <v>46336</v>
      </c>
      <c r="I113" s="8"/>
      <c r="J113" s="14"/>
      <c r="K113" s="15"/>
      <c r="L113" s="14"/>
      <c r="M113" s="14"/>
      <c r="N113" s="14"/>
    </row>
    <row r="114" customFormat="false" ht="35.05" hidden="false" customHeight="false" outlineLevel="0" collapsed="false">
      <c r="A114" s="8" t="s">
        <v>507</v>
      </c>
      <c r="B114" s="8" t="s">
        <v>40</v>
      </c>
      <c r="C114" s="8" t="s">
        <v>504</v>
      </c>
      <c r="D114" s="8" t="s">
        <v>508</v>
      </c>
      <c r="E114" s="8" t="s">
        <v>509</v>
      </c>
      <c r="F114" s="8"/>
      <c r="G114" s="8" t="n">
        <v>7</v>
      </c>
      <c r="H114" s="13" t="n">
        <v>46336</v>
      </c>
      <c r="I114" s="8"/>
      <c r="J114" s="14"/>
      <c r="K114" s="15"/>
      <c r="L114" s="14"/>
      <c r="M114" s="14"/>
      <c r="N114" s="14"/>
    </row>
    <row r="115" customFormat="false" ht="35.05" hidden="false" customHeight="false" outlineLevel="0" collapsed="false">
      <c r="A115" s="8" t="s">
        <v>510</v>
      </c>
      <c r="B115" s="8" t="s">
        <v>40</v>
      </c>
      <c r="C115" s="8" t="s">
        <v>504</v>
      </c>
      <c r="D115" s="8" t="s">
        <v>511</v>
      </c>
      <c r="E115" s="8" t="s">
        <v>512</v>
      </c>
      <c r="F115" s="8"/>
      <c r="G115" s="8" t="n">
        <v>7</v>
      </c>
      <c r="H115" s="13" t="n">
        <v>46336</v>
      </c>
      <c r="I115" s="8"/>
      <c r="J115" s="14"/>
      <c r="K115" s="15"/>
      <c r="L115" s="14"/>
      <c r="M115" s="14"/>
      <c r="N115" s="14"/>
    </row>
    <row r="116" customFormat="false" ht="35.05" hidden="false" customHeight="false" outlineLevel="0" collapsed="false">
      <c r="A116" s="8" t="s">
        <v>513</v>
      </c>
      <c r="B116" s="8" t="s">
        <v>40</v>
      </c>
      <c r="C116" s="8" t="s">
        <v>504</v>
      </c>
      <c r="D116" s="8" t="s">
        <v>514</v>
      </c>
      <c r="E116" s="8" t="s">
        <v>515</v>
      </c>
      <c r="F116" s="8" t="s">
        <v>252</v>
      </c>
      <c r="G116" s="8" t="n">
        <v>7</v>
      </c>
      <c r="H116" s="13" t="n">
        <v>46336</v>
      </c>
      <c r="I116" s="8"/>
      <c r="J116" s="14"/>
      <c r="K116" s="15"/>
      <c r="L116" s="14"/>
      <c r="M116" s="14"/>
      <c r="N116" s="14"/>
    </row>
    <row r="117" customFormat="false" ht="35.05" hidden="false" customHeight="false" outlineLevel="0" collapsed="false">
      <c r="A117" s="8" t="s">
        <v>516</v>
      </c>
      <c r="B117" s="8" t="s">
        <v>40</v>
      </c>
      <c r="C117" s="8" t="s">
        <v>504</v>
      </c>
      <c r="D117" s="8" t="s">
        <v>517</v>
      </c>
      <c r="E117" s="8" t="s">
        <v>518</v>
      </c>
      <c r="F117" s="8" t="s">
        <v>252</v>
      </c>
      <c r="G117" s="8" t="n">
        <v>7</v>
      </c>
      <c r="H117" s="13" t="n">
        <v>46336</v>
      </c>
      <c r="I117" s="8"/>
      <c r="J117" s="14"/>
      <c r="K117" s="15"/>
      <c r="L117" s="14"/>
      <c r="M117" s="14"/>
      <c r="N117" s="14"/>
    </row>
    <row r="118" customFormat="false" ht="35.05" hidden="false" customHeight="false" outlineLevel="0" collapsed="false">
      <c r="A118" s="8" t="s">
        <v>519</v>
      </c>
      <c r="B118" s="8" t="s">
        <v>40</v>
      </c>
      <c r="C118" s="8" t="s">
        <v>504</v>
      </c>
      <c r="D118" s="8" t="s">
        <v>520</v>
      </c>
      <c r="E118" s="8" t="s">
        <v>521</v>
      </c>
      <c r="F118" s="8" t="s">
        <v>252</v>
      </c>
      <c r="G118" s="8" t="n">
        <v>7</v>
      </c>
      <c r="H118" s="13" t="n">
        <v>46336</v>
      </c>
      <c r="I118" s="8"/>
      <c r="J118" s="14"/>
      <c r="K118" s="15"/>
      <c r="L118" s="14"/>
      <c r="M118" s="14"/>
      <c r="N118" s="14"/>
    </row>
    <row r="119" customFormat="false" ht="35.05" hidden="false" customHeight="false" outlineLevel="0" collapsed="false">
      <c r="A119" s="8" t="s">
        <v>522</v>
      </c>
      <c r="B119" s="8" t="s">
        <v>40</v>
      </c>
      <c r="C119" s="8" t="s">
        <v>504</v>
      </c>
      <c r="D119" s="8" t="s">
        <v>523</v>
      </c>
      <c r="E119" s="8" t="s">
        <v>524</v>
      </c>
      <c r="F119" s="8"/>
      <c r="G119" s="8" t="n">
        <v>7</v>
      </c>
      <c r="H119" s="13" t="n">
        <v>46336</v>
      </c>
      <c r="I119" s="8"/>
      <c r="J119" s="14"/>
      <c r="K119" s="15"/>
      <c r="L119" s="14"/>
      <c r="M119" s="14"/>
      <c r="N119" s="14"/>
    </row>
    <row r="120" customFormat="false" ht="35.05" hidden="false" customHeight="false" outlineLevel="0" collapsed="false">
      <c r="A120" s="8" t="s">
        <v>525</v>
      </c>
      <c r="B120" s="8" t="s">
        <v>40</v>
      </c>
      <c r="C120" s="8" t="s">
        <v>504</v>
      </c>
      <c r="D120" s="8" t="s">
        <v>526</v>
      </c>
      <c r="E120" s="8" t="s">
        <v>527</v>
      </c>
      <c r="F120" s="8"/>
      <c r="G120" s="8" t="n">
        <v>7</v>
      </c>
      <c r="H120" s="13" t="n">
        <v>46336</v>
      </c>
      <c r="I120" s="8"/>
      <c r="J120" s="14"/>
      <c r="K120" s="15"/>
      <c r="L120" s="14"/>
      <c r="M120" s="14"/>
      <c r="N120" s="14"/>
    </row>
    <row r="121" customFormat="false" ht="35.05" hidden="false" customHeight="false" outlineLevel="0" collapsed="false">
      <c r="A121" s="8" t="s">
        <v>528</v>
      </c>
      <c r="B121" s="8" t="s">
        <v>40</v>
      </c>
      <c r="C121" s="8" t="s">
        <v>504</v>
      </c>
      <c r="D121" s="8" t="s">
        <v>529</v>
      </c>
      <c r="E121" s="8" t="s">
        <v>530</v>
      </c>
      <c r="F121" s="8"/>
      <c r="G121" s="8" t="n">
        <v>7</v>
      </c>
      <c r="H121" s="13" t="n">
        <v>46336</v>
      </c>
      <c r="I121" s="8"/>
      <c r="J121" s="14"/>
      <c r="K121" s="15"/>
      <c r="L121" s="14"/>
      <c r="M121" s="14"/>
      <c r="N121" s="14"/>
    </row>
    <row r="122" customFormat="false" ht="35.05" hidden="false" customHeight="false" outlineLevel="0" collapsed="false">
      <c r="A122" s="8" t="s">
        <v>531</v>
      </c>
      <c r="B122" s="8" t="s">
        <v>40</v>
      </c>
      <c r="C122" s="8" t="s">
        <v>532</v>
      </c>
      <c r="D122" s="8" t="s">
        <v>533</v>
      </c>
      <c r="E122" s="8" t="s">
        <v>534</v>
      </c>
      <c r="F122" s="8" t="s">
        <v>252</v>
      </c>
      <c r="G122" s="8" t="n">
        <v>7</v>
      </c>
      <c r="H122" s="13" t="n">
        <v>46336</v>
      </c>
      <c r="I122" s="8"/>
      <c r="J122" s="14"/>
      <c r="K122" s="15"/>
      <c r="L122" s="14"/>
      <c r="M122" s="14"/>
      <c r="N122" s="14"/>
    </row>
    <row r="123" customFormat="false" ht="35.05" hidden="false" customHeight="false" outlineLevel="0" collapsed="false">
      <c r="A123" s="8" t="s">
        <v>535</v>
      </c>
      <c r="B123" s="8" t="s">
        <v>40</v>
      </c>
      <c r="C123" s="8" t="s">
        <v>532</v>
      </c>
      <c r="D123" s="8" t="s">
        <v>536</v>
      </c>
      <c r="E123" s="8" t="s">
        <v>537</v>
      </c>
      <c r="F123" s="8" t="s">
        <v>252</v>
      </c>
      <c r="G123" s="8" t="n">
        <v>7</v>
      </c>
      <c r="H123" s="13" t="n">
        <v>46336</v>
      </c>
      <c r="I123" s="8"/>
      <c r="J123" s="14"/>
      <c r="K123" s="15"/>
      <c r="L123" s="14"/>
      <c r="M123" s="14"/>
      <c r="N123" s="14"/>
    </row>
    <row r="124" customFormat="false" ht="35.05" hidden="false" customHeight="false" outlineLevel="0" collapsed="false">
      <c r="A124" s="8" t="s">
        <v>538</v>
      </c>
      <c r="B124" s="8" t="s">
        <v>40</v>
      </c>
      <c r="C124" s="8" t="s">
        <v>532</v>
      </c>
      <c r="D124" s="8" t="s">
        <v>539</v>
      </c>
      <c r="E124" s="8" t="s">
        <v>540</v>
      </c>
      <c r="F124" s="8" t="s">
        <v>252</v>
      </c>
      <c r="G124" s="8" t="n">
        <v>7</v>
      </c>
      <c r="H124" s="13" t="n">
        <v>46336</v>
      </c>
      <c r="I124" s="8"/>
      <c r="J124" s="14"/>
      <c r="K124" s="15"/>
      <c r="L124" s="14"/>
      <c r="M124" s="14"/>
      <c r="N124" s="14"/>
    </row>
    <row r="125" customFormat="false" ht="35.05" hidden="false" customHeight="false" outlineLevel="0" collapsed="false">
      <c r="A125" s="8" t="s">
        <v>541</v>
      </c>
      <c r="B125" s="8" t="s">
        <v>40</v>
      </c>
      <c r="C125" s="8" t="s">
        <v>542</v>
      </c>
      <c r="D125" s="8" t="s">
        <v>543</v>
      </c>
      <c r="E125" s="8" t="s">
        <v>544</v>
      </c>
      <c r="F125" s="8" t="s">
        <v>252</v>
      </c>
      <c r="G125" s="8" t="n">
        <v>7</v>
      </c>
      <c r="H125" s="13" t="n">
        <v>46336</v>
      </c>
      <c r="I125" s="8" t="s">
        <v>23</v>
      </c>
      <c r="J125" s="14"/>
      <c r="K125" s="15"/>
      <c r="L125" s="14"/>
      <c r="M125" s="14"/>
      <c r="N125" s="14"/>
    </row>
    <row r="126" customFormat="false" ht="35.05" hidden="false" customHeight="false" outlineLevel="0" collapsed="false">
      <c r="A126" s="8" t="s">
        <v>545</v>
      </c>
      <c r="B126" s="8" t="s">
        <v>40</v>
      </c>
      <c r="C126" s="8" t="s">
        <v>546</v>
      </c>
      <c r="D126" s="8" t="s">
        <v>547</v>
      </c>
      <c r="E126" s="8" t="s">
        <v>548</v>
      </c>
      <c r="F126" s="8" t="s">
        <v>252</v>
      </c>
      <c r="G126" s="8" t="n">
        <v>7</v>
      </c>
      <c r="H126" s="13" t="n">
        <v>46336</v>
      </c>
      <c r="I126" s="8"/>
      <c r="J126" s="14"/>
      <c r="K126" s="15"/>
      <c r="L126" s="14"/>
      <c r="M126" s="14"/>
      <c r="N126" s="14"/>
    </row>
    <row r="127" customFormat="false" ht="35.05" hidden="false" customHeight="false" outlineLevel="0" collapsed="false">
      <c r="A127" s="8" t="s">
        <v>549</v>
      </c>
      <c r="B127" s="8" t="s">
        <v>40</v>
      </c>
      <c r="C127" s="8" t="s">
        <v>550</v>
      </c>
      <c r="D127" s="8" t="s">
        <v>551</v>
      </c>
      <c r="E127" s="8" t="s">
        <v>552</v>
      </c>
      <c r="F127" s="8" t="s">
        <v>252</v>
      </c>
      <c r="G127" s="8" t="n">
        <v>7</v>
      </c>
      <c r="H127" s="13" t="n">
        <v>46336</v>
      </c>
      <c r="I127" s="8" t="s">
        <v>23</v>
      </c>
      <c r="J127" s="14"/>
      <c r="K127" s="15"/>
      <c r="L127" s="14"/>
      <c r="M127" s="14"/>
      <c r="N127" s="14"/>
    </row>
    <row r="128" customFormat="false" ht="35.05" hidden="false" customHeight="false" outlineLevel="0" collapsed="false">
      <c r="A128" s="8" t="s">
        <v>553</v>
      </c>
      <c r="B128" s="8" t="s">
        <v>40</v>
      </c>
      <c r="C128" s="8" t="s">
        <v>550</v>
      </c>
      <c r="D128" s="8" t="s">
        <v>554</v>
      </c>
      <c r="E128" s="8" t="s">
        <v>555</v>
      </c>
      <c r="F128" s="8"/>
      <c r="G128" s="8" t="n">
        <v>7</v>
      </c>
      <c r="H128" s="13" t="n">
        <v>46336</v>
      </c>
      <c r="I128" s="8"/>
      <c r="J128" s="14"/>
      <c r="K128" s="15"/>
      <c r="L128" s="14"/>
      <c r="M128" s="14"/>
      <c r="N128" s="14"/>
    </row>
    <row r="129" customFormat="false" ht="35.05" hidden="false" customHeight="false" outlineLevel="0" collapsed="false">
      <c r="A129" s="8" t="s">
        <v>556</v>
      </c>
      <c r="B129" s="8" t="s">
        <v>40</v>
      </c>
      <c r="C129" s="8" t="s">
        <v>557</v>
      </c>
      <c r="D129" s="8" t="s">
        <v>558</v>
      </c>
      <c r="E129" s="8" t="s">
        <v>559</v>
      </c>
      <c r="F129" s="8" t="s">
        <v>252</v>
      </c>
      <c r="G129" s="8" t="n">
        <v>7</v>
      </c>
      <c r="H129" s="13" t="n">
        <v>46336</v>
      </c>
      <c r="I129" s="8"/>
      <c r="J129" s="14"/>
      <c r="K129" s="15"/>
      <c r="L129" s="14"/>
      <c r="M129" s="14"/>
      <c r="N129" s="14"/>
    </row>
    <row r="130" customFormat="false" ht="35.05" hidden="false" customHeight="false" outlineLevel="0" collapsed="false">
      <c r="A130" s="8" t="s">
        <v>560</v>
      </c>
      <c r="B130" s="8" t="s">
        <v>40</v>
      </c>
      <c r="C130" s="8" t="s">
        <v>561</v>
      </c>
      <c r="D130" s="8" t="s">
        <v>562</v>
      </c>
      <c r="E130" s="8" t="s">
        <v>563</v>
      </c>
      <c r="F130" s="8" t="s">
        <v>252</v>
      </c>
      <c r="G130" s="8" t="n">
        <v>7</v>
      </c>
      <c r="H130" s="13" t="n">
        <v>46336</v>
      </c>
      <c r="I130" s="8"/>
      <c r="J130" s="14"/>
      <c r="K130" s="15"/>
      <c r="L130" s="14"/>
      <c r="M130" s="14"/>
      <c r="N130" s="14"/>
    </row>
    <row r="131" customFormat="false" ht="35.05" hidden="false" customHeight="false" outlineLevel="0" collapsed="false">
      <c r="A131" s="8" t="s">
        <v>564</v>
      </c>
      <c r="B131" s="8" t="s">
        <v>40</v>
      </c>
      <c r="C131" s="8" t="s">
        <v>565</v>
      </c>
      <c r="D131" s="8" t="s">
        <v>566</v>
      </c>
      <c r="E131" s="8" t="s">
        <v>567</v>
      </c>
      <c r="F131" s="8" t="s">
        <v>252</v>
      </c>
      <c r="G131" s="8" t="n">
        <v>7</v>
      </c>
      <c r="H131" s="13" t="n">
        <v>46336</v>
      </c>
      <c r="I131" s="8"/>
      <c r="J131" s="14"/>
      <c r="K131" s="15"/>
      <c r="L131" s="14"/>
      <c r="M131" s="14"/>
      <c r="N131" s="14"/>
    </row>
    <row r="132" customFormat="false" ht="35.05" hidden="false" customHeight="false" outlineLevel="0" collapsed="false">
      <c r="A132" s="8" t="s">
        <v>568</v>
      </c>
      <c r="B132" s="8" t="s">
        <v>40</v>
      </c>
      <c r="C132" s="8" t="s">
        <v>569</v>
      </c>
      <c r="D132" s="8" t="s">
        <v>570</v>
      </c>
      <c r="E132" s="8" t="s">
        <v>571</v>
      </c>
      <c r="F132" s="8" t="s">
        <v>572</v>
      </c>
      <c r="G132" s="8" t="n">
        <v>8</v>
      </c>
      <c r="H132" s="13" t="n">
        <v>46337</v>
      </c>
      <c r="I132" s="8"/>
      <c r="J132" s="14"/>
      <c r="K132" s="15"/>
      <c r="L132" s="14"/>
      <c r="M132" s="14"/>
      <c r="N132" s="14"/>
    </row>
    <row r="133" customFormat="false" ht="35.05" hidden="false" customHeight="false" outlineLevel="0" collapsed="false">
      <c r="A133" s="8" t="s">
        <v>573</v>
      </c>
      <c r="B133" s="8" t="s">
        <v>40</v>
      </c>
      <c r="C133" s="8" t="s">
        <v>569</v>
      </c>
      <c r="D133" s="8" t="s">
        <v>574</v>
      </c>
      <c r="E133" s="8" t="s">
        <v>575</v>
      </c>
      <c r="F133" s="8" t="s">
        <v>576</v>
      </c>
      <c r="G133" s="8" t="n">
        <v>8</v>
      </c>
      <c r="H133" s="13" t="n">
        <v>46337</v>
      </c>
      <c r="I133" s="8"/>
      <c r="J133" s="14"/>
      <c r="K133" s="15"/>
      <c r="L133" s="14"/>
      <c r="M133" s="14"/>
      <c r="N133" s="14"/>
    </row>
    <row r="134" customFormat="false" ht="35.05" hidden="false" customHeight="false" outlineLevel="0" collapsed="false">
      <c r="A134" s="8" t="s">
        <v>577</v>
      </c>
      <c r="B134" s="8" t="s">
        <v>40</v>
      </c>
      <c r="C134" s="8" t="s">
        <v>569</v>
      </c>
      <c r="D134" s="8" t="s">
        <v>578</v>
      </c>
      <c r="E134" s="8" t="s">
        <v>579</v>
      </c>
      <c r="F134" s="8" t="s">
        <v>455</v>
      </c>
      <c r="G134" s="8" t="n">
        <v>8</v>
      </c>
      <c r="H134" s="13" t="n">
        <v>46337</v>
      </c>
      <c r="I134" s="8"/>
      <c r="J134" s="14"/>
      <c r="K134" s="15"/>
      <c r="L134" s="14"/>
      <c r="M134" s="14"/>
      <c r="N134" s="14"/>
    </row>
    <row r="135" customFormat="false" ht="35.05" hidden="false" customHeight="false" outlineLevel="0" collapsed="false">
      <c r="A135" s="8" t="s">
        <v>580</v>
      </c>
      <c r="B135" s="8" t="s">
        <v>40</v>
      </c>
      <c r="C135" s="8" t="s">
        <v>569</v>
      </c>
      <c r="D135" s="8" t="s">
        <v>581</v>
      </c>
      <c r="E135" s="8" t="s">
        <v>582</v>
      </c>
      <c r="F135" s="8" t="s">
        <v>455</v>
      </c>
      <c r="G135" s="8" t="n">
        <v>8</v>
      </c>
      <c r="H135" s="13" t="n">
        <v>46337</v>
      </c>
      <c r="I135" s="8"/>
      <c r="J135" s="14"/>
      <c r="K135" s="15"/>
      <c r="L135" s="14"/>
      <c r="M135" s="14"/>
      <c r="N135" s="14"/>
    </row>
    <row r="136" customFormat="false" ht="35.05" hidden="false" customHeight="false" outlineLevel="0" collapsed="false">
      <c r="A136" s="8" t="s">
        <v>583</v>
      </c>
      <c r="B136" s="8" t="s">
        <v>40</v>
      </c>
      <c r="C136" s="8" t="s">
        <v>584</v>
      </c>
      <c r="D136" s="8" t="s">
        <v>585</v>
      </c>
      <c r="E136" s="8" t="s">
        <v>586</v>
      </c>
      <c r="F136" s="8" t="s">
        <v>587</v>
      </c>
      <c r="G136" s="8" t="n">
        <v>8</v>
      </c>
      <c r="H136" s="13" t="n">
        <v>46337</v>
      </c>
      <c r="I136" s="8"/>
      <c r="J136" s="14"/>
      <c r="K136" s="15"/>
      <c r="L136" s="14"/>
      <c r="M136" s="14"/>
      <c r="N136" s="14"/>
    </row>
    <row r="137" customFormat="false" ht="35.05" hidden="false" customHeight="false" outlineLevel="0" collapsed="false">
      <c r="A137" s="8" t="s">
        <v>588</v>
      </c>
      <c r="B137" s="8" t="s">
        <v>40</v>
      </c>
      <c r="C137" s="8" t="s">
        <v>584</v>
      </c>
      <c r="D137" s="8" t="s">
        <v>589</v>
      </c>
      <c r="E137" s="8" t="s">
        <v>590</v>
      </c>
      <c r="F137" s="8" t="s">
        <v>121</v>
      </c>
      <c r="G137" s="8" t="n">
        <v>8</v>
      </c>
      <c r="H137" s="13" t="n">
        <v>46337</v>
      </c>
      <c r="I137" s="8"/>
      <c r="J137" s="14"/>
      <c r="K137" s="15"/>
      <c r="L137" s="14"/>
      <c r="M137" s="14"/>
      <c r="N137" s="14"/>
    </row>
    <row r="138" customFormat="false" ht="35.05" hidden="false" customHeight="false" outlineLevel="0" collapsed="false">
      <c r="A138" s="8" t="s">
        <v>591</v>
      </c>
      <c r="B138" s="8" t="s">
        <v>40</v>
      </c>
      <c r="C138" s="8" t="s">
        <v>592</v>
      </c>
      <c r="D138" s="8" t="s">
        <v>593</v>
      </c>
      <c r="E138" s="8" t="s">
        <v>594</v>
      </c>
      <c r="F138" s="8" t="s">
        <v>595</v>
      </c>
      <c r="G138" s="8" t="n">
        <v>8</v>
      </c>
      <c r="H138" s="13" t="n">
        <v>46337</v>
      </c>
      <c r="I138" s="8"/>
      <c r="J138" s="14"/>
      <c r="K138" s="15"/>
      <c r="L138" s="14"/>
      <c r="M138" s="14"/>
      <c r="N138" s="14"/>
    </row>
    <row r="139" customFormat="false" ht="35.05" hidden="false" customHeight="false" outlineLevel="0" collapsed="false">
      <c r="A139" s="8" t="s">
        <v>596</v>
      </c>
      <c r="B139" s="8" t="s">
        <v>40</v>
      </c>
      <c r="C139" s="8" t="s">
        <v>592</v>
      </c>
      <c r="D139" s="8" t="s">
        <v>597</v>
      </c>
      <c r="E139" s="8" t="s">
        <v>598</v>
      </c>
      <c r="F139" s="8" t="s">
        <v>595</v>
      </c>
      <c r="G139" s="8" t="n">
        <v>8</v>
      </c>
      <c r="H139" s="13" t="n">
        <v>46337</v>
      </c>
      <c r="I139" s="8"/>
      <c r="J139" s="14"/>
      <c r="K139" s="15"/>
      <c r="L139" s="14"/>
      <c r="M139" s="14"/>
      <c r="N139" s="14"/>
    </row>
    <row r="140" customFormat="false" ht="35.05" hidden="false" customHeight="false" outlineLevel="0" collapsed="false">
      <c r="A140" s="8" t="s">
        <v>599</v>
      </c>
      <c r="B140" s="8" t="s">
        <v>40</v>
      </c>
      <c r="C140" s="8" t="s">
        <v>592</v>
      </c>
      <c r="D140" s="8" t="s">
        <v>600</v>
      </c>
      <c r="E140" s="8" t="s">
        <v>601</v>
      </c>
      <c r="F140" s="8" t="s">
        <v>595</v>
      </c>
      <c r="G140" s="8" t="n">
        <v>8</v>
      </c>
      <c r="H140" s="13" t="n">
        <v>46337</v>
      </c>
      <c r="I140" s="8"/>
      <c r="J140" s="14"/>
      <c r="K140" s="15"/>
      <c r="L140" s="14"/>
      <c r="M140" s="14"/>
      <c r="N140" s="14"/>
    </row>
    <row r="141" customFormat="false" ht="35.05" hidden="false" customHeight="false" outlineLevel="0" collapsed="false">
      <c r="A141" s="8" t="s">
        <v>602</v>
      </c>
      <c r="B141" s="8" t="s">
        <v>40</v>
      </c>
      <c r="C141" s="8" t="s">
        <v>603</v>
      </c>
      <c r="D141" s="8" t="s">
        <v>604</v>
      </c>
      <c r="E141" s="8" t="s">
        <v>605</v>
      </c>
      <c r="F141" s="8" t="s">
        <v>595</v>
      </c>
      <c r="G141" s="8" t="n">
        <v>8</v>
      </c>
      <c r="H141" s="13" t="n">
        <v>46337</v>
      </c>
      <c r="I141" s="8" t="s">
        <v>23</v>
      </c>
      <c r="J141" s="14"/>
      <c r="K141" s="15"/>
      <c r="L141" s="14"/>
      <c r="M141" s="14"/>
      <c r="N141" s="14"/>
    </row>
    <row r="142" customFormat="false" ht="35.05" hidden="false" customHeight="false" outlineLevel="0" collapsed="false">
      <c r="A142" s="8" t="s">
        <v>606</v>
      </c>
      <c r="B142" s="8" t="s">
        <v>40</v>
      </c>
      <c r="C142" s="8" t="s">
        <v>607</v>
      </c>
      <c r="D142" s="8" t="s">
        <v>608</v>
      </c>
      <c r="E142" s="8" t="s">
        <v>609</v>
      </c>
      <c r="F142" s="8" t="s">
        <v>595</v>
      </c>
      <c r="G142" s="8" t="n">
        <v>8</v>
      </c>
      <c r="H142" s="13" t="n">
        <v>46337</v>
      </c>
      <c r="I142" s="8"/>
      <c r="J142" s="14"/>
      <c r="K142" s="15"/>
      <c r="L142" s="14"/>
      <c r="M142" s="14"/>
      <c r="N142" s="14"/>
    </row>
    <row r="143" customFormat="false" ht="35.05" hidden="false" customHeight="false" outlineLevel="0" collapsed="false">
      <c r="A143" s="8" t="s">
        <v>610</v>
      </c>
      <c r="B143" s="8" t="s">
        <v>40</v>
      </c>
      <c r="C143" s="8" t="s">
        <v>611</v>
      </c>
      <c r="D143" s="8" t="s">
        <v>612</v>
      </c>
      <c r="E143" s="8" t="s">
        <v>613</v>
      </c>
      <c r="F143" s="8" t="s">
        <v>595</v>
      </c>
      <c r="G143" s="8" t="n">
        <v>8</v>
      </c>
      <c r="H143" s="13" t="n">
        <v>46337</v>
      </c>
      <c r="I143" s="8"/>
      <c r="J143" s="14"/>
      <c r="K143" s="15"/>
      <c r="L143" s="14"/>
      <c r="M143" s="14"/>
      <c r="N143" s="14"/>
    </row>
    <row r="144" customFormat="false" ht="35.05" hidden="false" customHeight="false" outlineLevel="0" collapsed="false">
      <c r="A144" s="8" t="s">
        <v>614</v>
      </c>
      <c r="B144" s="8" t="s">
        <v>40</v>
      </c>
      <c r="C144" s="8" t="s">
        <v>615</v>
      </c>
      <c r="D144" s="8" t="s">
        <v>616</v>
      </c>
      <c r="E144" s="8" t="s">
        <v>617</v>
      </c>
      <c r="F144" s="8" t="s">
        <v>595</v>
      </c>
      <c r="G144" s="8" t="n">
        <v>8</v>
      </c>
      <c r="H144" s="13" t="n">
        <v>46337</v>
      </c>
      <c r="I144" s="8" t="s">
        <v>23</v>
      </c>
      <c r="J144" s="14"/>
      <c r="K144" s="15"/>
      <c r="L144" s="14"/>
      <c r="M144" s="14"/>
      <c r="N144" s="14"/>
    </row>
    <row r="145" customFormat="false" ht="35.05" hidden="false" customHeight="false" outlineLevel="0" collapsed="false">
      <c r="A145" s="8" t="s">
        <v>618</v>
      </c>
      <c r="B145" s="8" t="s">
        <v>40</v>
      </c>
      <c r="C145" s="8" t="s">
        <v>619</v>
      </c>
      <c r="D145" s="8" t="s">
        <v>620</v>
      </c>
      <c r="E145" s="8" t="s">
        <v>621</v>
      </c>
      <c r="F145" s="8" t="s">
        <v>211</v>
      </c>
      <c r="G145" s="8" t="n">
        <v>8</v>
      </c>
      <c r="H145" s="13" t="n">
        <v>46337</v>
      </c>
      <c r="I145" s="8"/>
      <c r="J145" s="14"/>
      <c r="K145" s="15"/>
      <c r="L145" s="14"/>
      <c r="M145" s="14"/>
      <c r="N145" s="14"/>
    </row>
    <row r="146" customFormat="false" ht="35.05" hidden="false" customHeight="false" outlineLevel="0" collapsed="false">
      <c r="A146" s="8" t="s">
        <v>622</v>
      </c>
      <c r="B146" s="8" t="s">
        <v>40</v>
      </c>
      <c r="C146" s="8" t="s">
        <v>623</v>
      </c>
      <c r="D146" s="8" t="s">
        <v>624</v>
      </c>
      <c r="E146" s="8" t="s">
        <v>625</v>
      </c>
      <c r="F146" s="8" t="s">
        <v>626</v>
      </c>
      <c r="G146" s="8" t="n">
        <v>8</v>
      </c>
      <c r="H146" s="13" t="n">
        <v>46337</v>
      </c>
      <c r="I146" s="8"/>
      <c r="J146" s="14"/>
      <c r="K146" s="15"/>
      <c r="L146" s="14"/>
      <c r="M146" s="14"/>
      <c r="N146" s="14"/>
    </row>
    <row r="147" customFormat="false" ht="35.05" hidden="false" customHeight="false" outlineLevel="0" collapsed="false">
      <c r="A147" s="8" t="s">
        <v>627</v>
      </c>
      <c r="B147" s="8" t="s">
        <v>40</v>
      </c>
      <c r="C147" s="8" t="s">
        <v>623</v>
      </c>
      <c r="D147" s="8" t="s">
        <v>628</v>
      </c>
      <c r="E147" s="8" t="s">
        <v>629</v>
      </c>
      <c r="F147" s="8" t="s">
        <v>121</v>
      </c>
      <c r="G147" s="8" t="n">
        <v>8</v>
      </c>
      <c r="H147" s="13" t="n">
        <v>46337</v>
      </c>
      <c r="I147" s="8"/>
      <c r="J147" s="14"/>
      <c r="K147" s="15"/>
      <c r="L147" s="14"/>
      <c r="M147" s="14"/>
      <c r="N147" s="14"/>
    </row>
    <row r="148" customFormat="false" ht="35.05" hidden="false" customHeight="false" outlineLevel="0" collapsed="false">
      <c r="A148" s="8" t="s">
        <v>630</v>
      </c>
      <c r="B148" s="8" t="s">
        <v>40</v>
      </c>
      <c r="C148" s="8" t="s">
        <v>623</v>
      </c>
      <c r="D148" s="8" t="s">
        <v>631</v>
      </c>
      <c r="E148" s="8" t="s">
        <v>632</v>
      </c>
      <c r="F148" s="8" t="s">
        <v>121</v>
      </c>
      <c r="G148" s="8" t="n">
        <v>8</v>
      </c>
      <c r="H148" s="13" t="n">
        <v>46337</v>
      </c>
      <c r="I148" s="8"/>
      <c r="J148" s="14"/>
      <c r="K148" s="15"/>
      <c r="L148" s="14"/>
      <c r="M148" s="14"/>
      <c r="N148" s="14"/>
    </row>
    <row r="149" customFormat="false" ht="35.05" hidden="false" customHeight="false" outlineLevel="0" collapsed="false">
      <c r="A149" s="8" t="s">
        <v>633</v>
      </c>
      <c r="B149" s="8" t="s">
        <v>40</v>
      </c>
      <c r="C149" s="8" t="s">
        <v>634</v>
      </c>
      <c r="D149" s="8" t="s">
        <v>635</v>
      </c>
      <c r="E149" s="8" t="s">
        <v>636</v>
      </c>
      <c r="F149" s="8" t="s">
        <v>595</v>
      </c>
      <c r="G149" s="8" t="n">
        <v>8</v>
      </c>
      <c r="H149" s="13" t="n">
        <v>46337</v>
      </c>
      <c r="I149" s="8" t="s">
        <v>23</v>
      </c>
      <c r="J149" s="14"/>
      <c r="K149" s="15"/>
      <c r="L149" s="14"/>
      <c r="M149" s="14"/>
      <c r="N149" s="14"/>
    </row>
    <row r="150" customFormat="false" ht="35.05" hidden="false" customHeight="false" outlineLevel="0" collapsed="false">
      <c r="A150" s="8" t="s">
        <v>637</v>
      </c>
      <c r="B150" s="8" t="s">
        <v>40</v>
      </c>
      <c r="C150" s="8" t="s">
        <v>634</v>
      </c>
      <c r="D150" s="8" t="s">
        <v>638</v>
      </c>
      <c r="E150" s="8" t="s">
        <v>639</v>
      </c>
      <c r="F150" s="8" t="s">
        <v>595</v>
      </c>
      <c r="G150" s="8" t="n">
        <v>8</v>
      </c>
      <c r="H150" s="13" t="n">
        <v>46337</v>
      </c>
      <c r="I150" s="8"/>
      <c r="J150" s="14"/>
      <c r="K150" s="15"/>
      <c r="L150" s="14"/>
      <c r="M150" s="14"/>
      <c r="N150" s="14"/>
    </row>
    <row r="151" customFormat="false" ht="35.05" hidden="false" customHeight="false" outlineLevel="0" collapsed="false">
      <c r="A151" s="8" t="s">
        <v>640</v>
      </c>
      <c r="B151" s="8" t="s">
        <v>40</v>
      </c>
      <c r="C151" s="8" t="s">
        <v>634</v>
      </c>
      <c r="D151" s="8" t="s">
        <v>641</v>
      </c>
      <c r="E151" s="8" t="s">
        <v>642</v>
      </c>
      <c r="F151" s="8" t="s">
        <v>595</v>
      </c>
      <c r="G151" s="8" t="n">
        <v>8</v>
      </c>
      <c r="H151" s="13" t="n">
        <v>46337</v>
      </c>
      <c r="I151" s="8"/>
      <c r="J151" s="14"/>
      <c r="K151" s="15"/>
      <c r="L151" s="14"/>
      <c r="M151" s="14"/>
      <c r="N151" s="14"/>
    </row>
    <row r="152" customFormat="false" ht="35.05" hidden="false" customHeight="false" outlineLevel="0" collapsed="false">
      <c r="A152" s="8" t="s">
        <v>643</v>
      </c>
      <c r="B152" s="8" t="s">
        <v>40</v>
      </c>
      <c r="C152" s="8" t="s">
        <v>644</v>
      </c>
      <c r="D152" s="8" t="s">
        <v>645</v>
      </c>
      <c r="E152" s="8" t="s">
        <v>646</v>
      </c>
      <c r="F152" s="8" t="s">
        <v>647</v>
      </c>
      <c r="G152" s="8" t="n">
        <v>8</v>
      </c>
      <c r="H152" s="13" t="n">
        <v>46337</v>
      </c>
      <c r="I152" s="8"/>
      <c r="J152" s="14"/>
      <c r="K152" s="15"/>
      <c r="L152" s="14"/>
      <c r="M152" s="14"/>
      <c r="N152" s="14"/>
    </row>
    <row r="153" customFormat="false" ht="35.05" hidden="false" customHeight="false" outlineLevel="0" collapsed="false">
      <c r="A153" s="8" t="s">
        <v>648</v>
      </c>
      <c r="B153" s="8" t="s">
        <v>40</v>
      </c>
      <c r="C153" s="8" t="s">
        <v>649</v>
      </c>
      <c r="D153" s="8" t="s">
        <v>650</v>
      </c>
      <c r="E153" s="8" t="s">
        <v>651</v>
      </c>
      <c r="F153" s="8" t="s">
        <v>252</v>
      </c>
      <c r="G153" s="8" t="n">
        <v>8</v>
      </c>
      <c r="H153" s="13" t="n">
        <v>46337</v>
      </c>
      <c r="I153" s="8"/>
      <c r="J153" s="14"/>
      <c r="K153" s="15"/>
      <c r="L153" s="14"/>
      <c r="M153" s="14"/>
      <c r="N153" s="14"/>
    </row>
    <row r="154" customFormat="false" ht="35.05" hidden="false" customHeight="false" outlineLevel="0" collapsed="false">
      <c r="A154" s="8" t="s">
        <v>652</v>
      </c>
      <c r="B154" s="8" t="s">
        <v>40</v>
      </c>
      <c r="C154" s="8" t="s">
        <v>649</v>
      </c>
      <c r="D154" s="8" t="s">
        <v>653</v>
      </c>
      <c r="E154" s="8" t="s">
        <v>654</v>
      </c>
      <c r="F154" s="8"/>
      <c r="G154" s="8" t="n">
        <v>8</v>
      </c>
      <c r="H154" s="13" t="n">
        <v>46337</v>
      </c>
      <c r="I154" s="8"/>
      <c r="J154" s="14"/>
      <c r="K154" s="15"/>
      <c r="L154" s="14"/>
      <c r="M154" s="14"/>
      <c r="N154" s="14"/>
    </row>
    <row r="155" customFormat="false" ht="35.05" hidden="false" customHeight="false" outlineLevel="0" collapsed="false">
      <c r="A155" s="8" t="s">
        <v>655</v>
      </c>
      <c r="B155" s="8" t="s">
        <v>40</v>
      </c>
      <c r="C155" s="8" t="s">
        <v>649</v>
      </c>
      <c r="D155" s="8" t="s">
        <v>656</v>
      </c>
      <c r="E155" s="8" t="s">
        <v>657</v>
      </c>
      <c r="F155" s="8" t="s">
        <v>658</v>
      </c>
      <c r="G155" s="8" t="n">
        <v>8</v>
      </c>
      <c r="H155" s="13" t="n">
        <v>46337</v>
      </c>
      <c r="I155" s="8"/>
      <c r="J155" s="14"/>
      <c r="K155" s="15"/>
      <c r="L155" s="14"/>
      <c r="M155" s="14"/>
      <c r="N155" s="14"/>
    </row>
    <row r="156" customFormat="false" ht="35.05" hidden="false" customHeight="false" outlineLevel="0" collapsed="false">
      <c r="A156" s="8" t="s">
        <v>659</v>
      </c>
      <c r="B156" s="8" t="s">
        <v>40</v>
      </c>
      <c r="C156" s="8" t="s">
        <v>660</v>
      </c>
      <c r="D156" s="8" t="s">
        <v>661</v>
      </c>
      <c r="E156" s="8" t="s">
        <v>662</v>
      </c>
      <c r="F156" s="8" t="s">
        <v>663</v>
      </c>
      <c r="G156" s="8" t="n">
        <v>8</v>
      </c>
      <c r="H156" s="13" t="n">
        <v>46337</v>
      </c>
      <c r="I156" s="8"/>
      <c r="J156" s="14"/>
      <c r="K156" s="15"/>
      <c r="L156" s="14"/>
      <c r="M156" s="14"/>
      <c r="N156" s="14"/>
    </row>
    <row r="157" customFormat="false" ht="35.05" hidden="false" customHeight="false" outlineLevel="0" collapsed="false">
      <c r="A157" s="8" t="s">
        <v>664</v>
      </c>
      <c r="B157" s="8" t="s">
        <v>40</v>
      </c>
      <c r="C157" s="8" t="s">
        <v>660</v>
      </c>
      <c r="D157" s="8" t="s">
        <v>665</v>
      </c>
      <c r="E157" s="8" t="s">
        <v>666</v>
      </c>
      <c r="F157" s="8" t="s">
        <v>663</v>
      </c>
      <c r="G157" s="8" t="n">
        <v>8</v>
      </c>
      <c r="H157" s="13" t="n">
        <v>46337</v>
      </c>
      <c r="I157" s="8"/>
      <c r="J157" s="14"/>
      <c r="K157" s="15"/>
      <c r="L157" s="14"/>
      <c r="M157" s="14"/>
      <c r="N157" s="14"/>
    </row>
    <row r="158" customFormat="false" ht="35.05" hidden="false" customHeight="false" outlineLevel="0" collapsed="false">
      <c r="A158" s="8" t="s">
        <v>667</v>
      </c>
      <c r="B158" s="8" t="s">
        <v>40</v>
      </c>
      <c r="C158" s="8" t="s">
        <v>668</v>
      </c>
      <c r="D158" s="8" t="s">
        <v>669</v>
      </c>
      <c r="E158" s="8" t="s">
        <v>670</v>
      </c>
      <c r="F158" s="8" t="s">
        <v>595</v>
      </c>
      <c r="G158" s="8" t="n">
        <v>9</v>
      </c>
      <c r="H158" s="13" t="n">
        <v>46338</v>
      </c>
      <c r="I158" s="8"/>
      <c r="J158" s="14"/>
      <c r="K158" s="15"/>
      <c r="L158" s="14"/>
      <c r="M158" s="14"/>
      <c r="N158" s="14"/>
    </row>
    <row r="159" customFormat="false" ht="35.05" hidden="false" customHeight="false" outlineLevel="0" collapsed="false">
      <c r="A159" s="8" t="s">
        <v>671</v>
      </c>
      <c r="B159" s="8" t="s">
        <v>40</v>
      </c>
      <c r="C159" s="8" t="s">
        <v>668</v>
      </c>
      <c r="D159" s="8" t="s">
        <v>672</v>
      </c>
      <c r="E159" s="8" t="s">
        <v>673</v>
      </c>
      <c r="F159" s="8" t="s">
        <v>595</v>
      </c>
      <c r="G159" s="8" t="n">
        <v>9</v>
      </c>
      <c r="H159" s="13" t="n">
        <v>46338</v>
      </c>
      <c r="I159" s="8"/>
      <c r="J159" s="14"/>
      <c r="K159" s="15"/>
      <c r="L159" s="14"/>
      <c r="M159" s="14"/>
      <c r="N159" s="14"/>
    </row>
    <row r="160" customFormat="false" ht="35.05" hidden="false" customHeight="false" outlineLevel="0" collapsed="false">
      <c r="A160" s="8" t="s">
        <v>674</v>
      </c>
      <c r="B160" s="8" t="s">
        <v>40</v>
      </c>
      <c r="C160" s="8" t="s">
        <v>668</v>
      </c>
      <c r="D160" s="8" t="s">
        <v>675</v>
      </c>
      <c r="E160" s="8" t="s">
        <v>676</v>
      </c>
      <c r="F160" s="8" t="s">
        <v>595</v>
      </c>
      <c r="G160" s="8" t="n">
        <v>9</v>
      </c>
      <c r="H160" s="13" t="n">
        <v>46338</v>
      </c>
      <c r="I160" s="8"/>
      <c r="J160" s="14"/>
      <c r="K160" s="15"/>
      <c r="L160" s="14"/>
      <c r="M160" s="14"/>
      <c r="N160" s="14"/>
    </row>
    <row r="161" customFormat="false" ht="35.05" hidden="false" customHeight="false" outlineLevel="0" collapsed="false">
      <c r="A161" s="8" t="s">
        <v>677</v>
      </c>
      <c r="B161" s="8" t="s">
        <v>40</v>
      </c>
      <c r="C161" s="8" t="s">
        <v>678</v>
      </c>
      <c r="D161" s="8" t="s">
        <v>679</v>
      </c>
      <c r="E161" s="8" t="s">
        <v>680</v>
      </c>
      <c r="F161" s="8" t="s">
        <v>681</v>
      </c>
      <c r="G161" s="8" t="n">
        <v>9</v>
      </c>
      <c r="H161" s="13" t="n">
        <v>46338</v>
      </c>
      <c r="I161" s="8" t="s">
        <v>23</v>
      </c>
      <c r="J161" s="14"/>
      <c r="K161" s="15"/>
      <c r="L161" s="14"/>
      <c r="M161" s="14"/>
      <c r="N161" s="14"/>
    </row>
    <row r="162" customFormat="false" ht="35.05" hidden="false" customHeight="false" outlineLevel="0" collapsed="false">
      <c r="A162" s="8" t="s">
        <v>682</v>
      </c>
      <c r="B162" s="8" t="s">
        <v>40</v>
      </c>
      <c r="C162" s="8" t="s">
        <v>678</v>
      </c>
      <c r="D162" s="8" t="s">
        <v>683</v>
      </c>
      <c r="E162" s="8" t="s">
        <v>684</v>
      </c>
      <c r="F162" s="8" t="s">
        <v>252</v>
      </c>
      <c r="G162" s="8" t="n">
        <v>9</v>
      </c>
      <c r="H162" s="13" t="n">
        <v>46338</v>
      </c>
      <c r="I162" s="8"/>
      <c r="J162" s="14"/>
      <c r="K162" s="15"/>
      <c r="L162" s="14"/>
      <c r="M162" s="14"/>
      <c r="N162" s="14"/>
    </row>
    <row r="163" customFormat="false" ht="35.05" hidden="false" customHeight="false" outlineLevel="0" collapsed="false">
      <c r="A163" s="8" t="s">
        <v>685</v>
      </c>
      <c r="B163" s="8" t="s">
        <v>40</v>
      </c>
      <c r="C163" s="8" t="s">
        <v>686</v>
      </c>
      <c r="D163" s="8" t="s">
        <v>687</v>
      </c>
      <c r="E163" s="8" t="s">
        <v>688</v>
      </c>
      <c r="F163" s="8" t="s">
        <v>252</v>
      </c>
      <c r="G163" s="8" t="n">
        <v>9</v>
      </c>
      <c r="H163" s="13" t="n">
        <v>46338</v>
      </c>
      <c r="I163" s="8" t="s">
        <v>23</v>
      </c>
      <c r="J163" s="14"/>
      <c r="K163" s="15"/>
      <c r="L163" s="14"/>
      <c r="M163" s="14"/>
      <c r="N163" s="14"/>
    </row>
    <row r="164" customFormat="false" ht="35.05" hidden="false" customHeight="false" outlineLevel="0" collapsed="false">
      <c r="A164" s="8" t="s">
        <v>689</v>
      </c>
      <c r="B164" s="8" t="s">
        <v>40</v>
      </c>
      <c r="C164" s="8" t="s">
        <v>690</v>
      </c>
      <c r="D164" s="8" t="s">
        <v>691</v>
      </c>
      <c r="E164" s="8" t="s">
        <v>692</v>
      </c>
      <c r="F164" s="8"/>
      <c r="G164" s="8" t="n">
        <v>9</v>
      </c>
      <c r="H164" s="13" t="n">
        <v>46338</v>
      </c>
      <c r="I164" s="8"/>
      <c r="J164" s="14"/>
      <c r="K164" s="15"/>
      <c r="L164" s="14"/>
      <c r="M164" s="14"/>
      <c r="N164" s="14"/>
    </row>
    <row r="165" customFormat="false" ht="35.05" hidden="false" customHeight="false" outlineLevel="0" collapsed="false">
      <c r="A165" s="8" t="s">
        <v>693</v>
      </c>
      <c r="B165" s="8" t="s">
        <v>40</v>
      </c>
      <c r="C165" s="8" t="s">
        <v>694</v>
      </c>
      <c r="D165" s="8" t="s">
        <v>695</v>
      </c>
      <c r="E165" s="8" t="s">
        <v>696</v>
      </c>
      <c r="F165" s="8" t="s">
        <v>244</v>
      </c>
      <c r="G165" s="8" t="n">
        <v>9</v>
      </c>
      <c r="H165" s="13" t="n">
        <v>46338</v>
      </c>
      <c r="I165" s="8"/>
      <c r="J165" s="14"/>
      <c r="K165" s="15"/>
      <c r="L165" s="14"/>
      <c r="M165" s="14"/>
      <c r="N165" s="14"/>
    </row>
    <row r="166" customFormat="false" ht="35.05" hidden="false" customHeight="false" outlineLevel="0" collapsed="false">
      <c r="A166" s="8" t="s">
        <v>697</v>
      </c>
      <c r="B166" s="8" t="s">
        <v>40</v>
      </c>
      <c r="C166" s="8" t="s">
        <v>694</v>
      </c>
      <c r="D166" s="8" t="s">
        <v>698</v>
      </c>
      <c r="E166" s="8" t="s">
        <v>699</v>
      </c>
      <c r="F166" s="8" t="s">
        <v>252</v>
      </c>
      <c r="G166" s="8" t="n">
        <v>9</v>
      </c>
      <c r="H166" s="13" t="n">
        <v>46338</v>
      </c>
      <c r="I166" s="8"/>
      <c r="J166" s="14"/>
      <c r="K166" s="15"/>
      <c r="L166" s="14"/>
      <c r="M166" s="14"/>
      <c r="N166" s="14"/>
    </row>
    <row r="167" customFormat="false" ht="35.05" hidden="false" customHeight="false" outlineLevel="0" collapsed="false">
      <c r="A167" s="8" t="s">
        <v>700</v>
      </c>
      <c r="B167" s="8" t="s">
        <v>40</v>
      </c>
      <c r="C167" s="8" t="s">
        <v>701</v>
      </c>
      <c r="D167" s="8" t="s">
        <v>702</v>
      </c>
      <c r="E167" s="8" t="s">
        <v>703</v>
      </c>
      <c r="F167" s="8" t="s">
        <v>595</v>
      </c>
      <c r="G167" s="8" t="n">
        <v>9</v>
      </c>
      <c r="H167" s="13" t="n">
        <v>46338</v>
      </c>
      <c r="I167" s="8"/>
      <c r="J167" s="14"/>
      <c r="K167" s="15"/>
      <c r="L167" s="14"/>
      <c r="M167" s="14"/>
      <c r="N167" s="14"/>
    </row>
    <row r="168" customFormat="false" ht="35.05" hidden="false" customHeight="false" outlineLevel="0" collapsed="false">
      <c r="A168" s="8" t="s">
        <v>704</v>
      </c>
      <c r="B168" s="8" t="s">
        <v>40</v>
      </c>
      <c r="C168" s="8" t="s">
        <v>705</v>
      </c>
      <c r="D168" s="8" t="s">
        <v>706</v>
      </c>
      <c r="E168" s="8" t="s">
        <v>707</v>
      </c>
      <c r="F168" s="8" t="s">
        <v>252</v>
      </c>
      <c r="G168" s="8" t="n">
        <v>9</v>
      </c>
      <c r="H168" s="13" t="n">
        <v>46338</v>
      </c>
      <c r="I168" s="8"/>
      <c r="J168" s="14"/>
      <c r="K168" s="15"/>
      <c r="L168" s="14"/>
      <c r="M168" s="14"/>
      <c r="N168" s="14"/>
    </row>
    <row r="169" customFormat="false" ht="35.05" hidden="false" customHeight="false" outlineLevel="0" collapsed="false">
      <c r="A169" s="8" t="s">
        <v>708</v>
      </c>
      <c r="B169" s="8" t="s">
        <v>40</v>
      </c>
      <c r="C169" s="8" t="s">
        <v>231</v>
      </c>
      <c r="D169" s="8" t="s">
        <v>709</v>
      </c>
      <c r="E169" s="8" t="s">
        <v>710</v>
      </c>
      <c r="F169" s="8" t="s">
        <v>647</v>
      </c>
      <c r="G169" s="8" t="n">
        <v>9</v>
      </c>
      <c r="H169" s="13" t="n">
        <v>46338</v>
      </c>
      <c r="I169" s="8"/>
      <c r="J169" s="14"/>
      <c r="K169" s="15"/>
      <c r="L169" s="14"/>
      <c r="M169" s="14"/>
      <c r="N169" s="14"/>
    </row>
    <row r="170" customFormat="false" ht="35.05" hidden="false" customHeight="false" outlineLevel="0" collapsed="false">
      <c r="A170" s="8" t="s">
        <v>711</v>
      </c>
      <c r="B170" s="8" t="s">
        <v>40</v>
      </c>
      <c r="C170" s="8" t="s">
        <v>712</v>
      </c>
      <c r="D170" s="8" t="s">
        <v>713</v>
      </c>
      <c r="E170" s="8" t="s">
        <v>714</v>
      </c>
      <c r="F170" s="8"/>
      <c r="G170" s="8" t="n">
        <v>9</v>
      </c>
      <c r="H170" s="13" t="n">
        <v>46338</v>
      </c>
      <c r="I170" s="8"/>
      <c r="J170" s="14"/>
      <c r="K170" s="15"/>
      <c r="L170" s="14"/>
      <c r="M170" s="14"/>
      <c r="N170" s="14"/>
    </row>
    <row r="171" customFormat="false" ht="35.05" hidden="false" customHeight="false" outlineLevel="0" collapsed="false">
      <c r="A171" s="8" t="s">
        <v>715</v>
      </c>
      <c r="B171" s="8" t="s">
        <v>40</v>
      </c>
      <c r="C171" s="8" t="s">
        <v>716</v>
      </c>
      <c r="D171" s="8" t="s">
        <v>717</v>
      </c>
      <c r="E171" s="8" t="s">
        <v>718</v>
      </c>
      <c r="F171" s="8" t="s">
        <v>595</v>
      </c>
      <c r="G171" s="8" t="n">
        <v>9</v>
      </c>
      <c r="H171" s="13" t="n">
        <v>46338</v>
      </c>
      <c r="I171" s="8" t="s">
        <v>23</v>
      </c>
      <c r="J171" s="14"/>
      <c r="K171" s="15"/>
      <c r="L171" s="14"/>
      <c r="M171" s="14"/>
      <c r="N171" s="14"/>
    </row>
    <row r="172" customFormat="false" ht="35.05" hidden="false" customHeight="false" outlineLevel="0" collapsed="false">
      <c r="A172" s="8" t="s">
        <v>719</v>
      </c>
      <c r="B172" s="8" t="s">
        <v>40</v>
      </c>
      <c r="C172" s="8" t="s">
        <v>716</v>
      </c>
      <c r="D172" s="8" t="s">
        <v>720</v>
      </c>
      <c r="E172" s="8" t="s">
        <v>721</v>
      </c>
      <c r="F172" s="8" t="s">
        <v>595</v>
      </c>
      <c r="G172" s="8" t="n">
        <v>9</v>
      </c>
      <c r="H172" s="13" t="n">
        <v>46338</v>
      </c>
      <c r="I172" s="8"/>
      <c r="J172" s="14"/>
      <c r="K172" s="15"/>
      <c r="L172" s="14"/>
      <c r="M172" s="14"/>
      <c r="N172" s="14"/>
    </row>
    <row r="173" customFormat="false" ht="35.05" hidden="false" customHeight="false" outlineLevel="0" collapsed="false">
      <c r="A173" s="8" t="s">
        <v>722</v>
      </c>
      <c r="B173" s="8" t="s">
        <v>40</v>
      </c>
      <c r="C173" s="8" t="s">
        <v>716</v>
      </c>
      <c r="D173" s="8" t="s">
        <v>723</v>
      </c>
      <c r="E173" s="8" t="s">
        <v>724</v>
      </c>
      <c r="F173" s="8" t="s">
        <v>595</v>
      </c>
      <c r="G173" s="8" t="n">
        <v>9</v>
      </c>
      <c r="H173" s="13" t="n">
        <v>46338</v>
      </c>
      <c r="I173" s="8"/>
      <c r="J173" s="14"/>
      <c r="K173" s="15"/>
      <c r="L173" s="14"/>
      <c r="M173" s="14"/>
      <c r="N173" s="14"/>
    </row>
    <row r="174" customFormat="false" ht="35.05" hidden="false" customHeight="false" outlineLevel="0" collapsed="false">
      <c r="A174" s="8" t="s">
        <v>725</v>
      </c>
      <c r="B174" s="8" t="s">
        <v>40</v>
      </c>
      <c r="C174" s="8" t="s">
        <v>716</v>
      </c>
      <c r="D174" s="8" t="s">
        <v>726</v>
      </c>
      <c r="E174" s="8" t="s">
        <v>727</v>
      </c>
      <c r="F174" s="8" t="s">
        <v>595</v>
      </c>
      <c r="G174" s="8" t="n">
        <v>9</v>
      </c>
      <c r="H174" s="13" t="n">
        <v>46338</v>
      </c>
      <c r="I174" s="8"/>
      <c r="J174" s="14"/>
      <c r="K174" s="15"/>
      <c r="L174" s="14"/>
      <c r="M174" s="14"/>
      <c r="N174" s="14"/>
    </row>
    <row r="175" customFormat="false" ht="35.05" hidden="false" customHeight="false" outlineLevel="0" collapsed="false">
      <c r="A175" s="8" t="s">
        <v>728</v>
      </c>
      <c r="B175" s="8" t="s">
        <v>40</v>
      </c>
      <c r="C175" s="8" t="s">
        <v>729</v>
      </c>
      <c r="D175" s="8" t="s">
        <v>730</v>
      </c>
      <c r="E175" s="8" t="s">
        <v>731</v>
      </c>
      <c r="F175" s="8"/>
      <c r="G175" s="8" t="n">
        <v>9</v>
      </c>
      <c r="H175" s="13" t="n">
        <v>46338</v>
      </c>
      <c r="I175" s="8"/>
      <c r="J175" s="14"/>
      <c r="K175" s="15"/>
      <c r="L175" s="14"/>
      <c r="M175" s="14"/>
      <c r="N175" s="14"/>
    </row>
    <row r="176" customFormat="false" ht="35.05" hidden="false" customHeight="false" outlineLevel="0" collapsed="false">
      <c r="A176" s="8" t="s">
        <v>732</v>
      </c>
      <c r="B176" s="8" t="s">
        <v>40</v>
      </c>
      <c r="C176" s="8" t="s">
        <v>733</v>
      </c>
      <c r="D176" s="8" t="s">
        <v>734</v>
      </c>
      <c r="E176" s="8" t="s">
        <v>735</v>
      </c>
      <c r="F176" s="8" t="s">
        <v>121</v>
      </c>
      <c r="G176" s="8" t="n">
        <v>9</v>
      </c>
      <c r="H176" s="13" t="n">
        <v>46338</v>
      </c>
      <c r="I176" s="8"/>
      <c r="J176" s="14"/>
      <c r="K176" s="15"/>
      <c r="L176" s="14"/>
      <c r="M176" s="14"/>
      <c r="N176" s="14"/>
    </row>
    <row r="177" customFormat="false" ht="35.05" hidden="false" customHeight="false" outlineLevel="0" collapsed="false">
      <c r="A177" s="8" t="s">
        <v>736</v>
      </c>
      <c r="B177" s="8" t="s">
        <v>40</v>
      </c>
      <c r="C177" s="8" t="s">
        <v>737</v>
      </c>
      <c r="D177" s="8" t="s">
        <v>738</v>
      </c>
      <c r="E177" s="8" t="s">
        <v>739</v>
      </c>
      <c r="F177" s="8"/>
      <c r="G177" s="8" t="n">
        <v>9</v>
      </c>
      <c r="H177" s="13" t="n">
        <v>46338</v>
      </c>
      <c r="I177" s="8"/>
      <c r="J177" s="14"/>
      <c r="K177" s="15"/>
      <c r="L177" s="14"/>
      <c r="M177" s="14"/>
      <c r="N177" s="14"/>
    </row>
    <row r="178" customFormat="false" ht="35.05" hidden="false" customHeight="false" outlineLevel="0" collapsed="false">
      <c r="A178" s="8" t="s">
        <v>740</v>
      </c>
      <c r="B178" s="8" t="s">
        <v>40</v>
      </c>
      <c r="C178" s="8" t="s">
        <v>741</v>
      </c>
      <c r="D178" s="8" t="s">
        <v>742</v>
      </c>
      <c r="E178" s="8" t="s">
        <v>743</v>
      </c>
      <c r="F178" s="8"/>
      <c r="G178" s="8" t="n">
        <v>9</v>
      </c>
      <c r="H178" s="13" t="n">
        <v>46338</v>
      </c>
      <c r="I178" s="8"/>
      <c r="J178" s="14"/>
      <c r="K178" s="15"/>
      <c r="L178" s="14"/>
      <c r="M178" s="14"/>
      <c r="N178" s="14"/>
    </row>
    <row r="179" customFormat="false" ht="35.05" hidden="false" customHeight="false" outlineLevel="0" collapsed="false">
      <c r="A179" s="8" t="s">
        <v>744</v>
      </c>
      <c r="B179" s="8" t="s">
        <v>40</v>
      </c>
      <c r="C179" s="8" t="s">
        <v>745</v>
      </c>
      <c r="D179" s="8" t="s">
        <v>746</v>
      </c>
      <c r="E179" s="8" t="s">
        <v>747</v>
      </c>
      <c r="F179" s="8" t="s">
        <v>121</v>
      </c>
      <c r="G179" s="8" t="n">
        <v>10</v>
      </c>
      <c r="H179" s="13" t="n">
        <v>46339</v>
      </c>
      <c r="I179" s="8"/>
      <c r="J179" s="14"/>
      <c r="K179" s="15"/>
      <c r="L179" s="14"/>
      <c r="M179" s="14"/>
      <c r="N179" s="14"/>
    </row>
    <row r="180" customFormat="false" ht="35.05" hidden="false" customHeight="false" outlineLevel="0" collapsed="false">
      <c r="A180" s="8" t="s">
        <v>748</v>
      </c>
      <c r="B180" s="8" t="s">
        <v>40</v>
      </c>
      <c r="C180" s="8" t="s">
        <v>745</v>
      </c>
      <c r="D180" s="8" t="s">
        <v>749</v>
      </c>
      <c r="E180" s="8" t="s">
        <v>750</v>
      </c>
      <c r="F180" s="8" t="s">
        <v>455</v>
      </c>
      <c r="G180" s="8" t="n">
        <v>10</v>
      </c>
      <c r="H180" s="13" t="n">
        <v>46339</v>
      </c>
      <c r="I180" s="8"/>
      <c r="J180" s="14"/>
      <c r="K180" s="15"/>
      <c r="L180" s="14"/>
      <c r="M180" s="14"/>
      <c r="N180" s="14"/>
    </row>
    <row r="181" customFormat="false" ht="35.05" hidden="false" customHeight="false" outlineLevel="0" collapsed="false">
      <c r="A181" s="8" t="s">
        <v>751</v>
      </c>
      <c r="B181" s="8" t="s">
        <v>40</v>
      </c>
      <c r="C181" s="8" t="s">
        <v>752</v>
      </c>
      <c r="D181" s="8" t="s">
        <v>753</v>
      </c>
      <c r="E181" s="8" t="s">
        <v>754</v>
      </c>
      <c r="F181" s="8" t="s">
        <v>139</v>
      </c>
      <c r="G181" s="8" t="n">
        <v>10</v>
      </c>
      <c r="H181" s="13" t="n">
        <v>46339</v>
      </c>
      <c r="I181" s="8"/>
      <c r="J181" s="14"/>
      <c r="K181" s="15"/>
      <c r="L181" s="14"/>
      <c r="M181" s="14"/>
      <c r="N181" s="14"/>
    </row>
    <row r="182" customFormat="false" ht="35.05" hidden="false" customHeight="false" outlineLevel="0" collapsed="false">
      <c r="A182" s="8" t="s">
        <v>755</v>
      </c>
      <c r="B182" s="8" t="s">
        <v>40</v>
      </c>
      <c r="C182" s="8" t="s">
        <v>756</v>
      </c>
      <c r="D182" s="8" t="s">
        <v>757</v>
      </c>
      <c r="E182" s="8" t="s">
        <v>758</v>
      </c>
      <c r="F182" s="8"/>
      <c r="G182" s="8" t="n">
        <v>10</v>
      </c>
      <c r="H182" s="13" t="n">
        <v>46339</v>
      </c>
      <c r="I182" s="8" t="s">
        <v>23</v>
      </c>
      <c r="J182" s="14"/>
      <c r="K182" s="15"/>
      <c r="L182" s="14"/>
      <c r="M182" s="14"/>
      <c r="N182" s="14"/>
    </row>
    <row r="183" customFormat="false" ht="35.05" hidden="false" customHeight="false" outlineLevel="0" collapsed="false">
      <c r="A183" s="8" t="s">
        <v>759</v>
      </c>
      <c r="B183" s="8" t="s">
        <v>40</v>
      </c>
      <c r="C183" s="8" t="s">
        <v>760</v>
      </c>
      <c r="D183" s="8" t="s">
        <v>761</v>
      </c>
      <c r="E183" s="8" t="s">
        <v>762</v>
      </c>
      <c r="F183" s="8"/>
      <c r="G183" s="8" t="n">
        <v>10</v>
      </c>
      <c r="H183" s="13" t="n">
        <v>46339</v>
      </c>
      <c r="I183" s="8"/>
      <c r="J183" s="14"/>
      <c r="K183" s="15"/>
      <c r="L183" s="14"/>
      <c r="M183" s="14"/>
      <c r="N183" s="14"/>
    </row>
    <row r="184" customFormat="false" ht="35.05" hidden="false" customHeight="false" outlineLevel="0" collapsed="false">
      <c r="A184" s="8" t="s">
        <v>763</v>
      </c>
      <c r="B184" s="8" t="s">
        <v>40</v>
      </c>
      <c r="C184" s="8" t="s">
        <v>764</v>
      </c>
      <c r="D184" s="8" t="s">
        <v>765</v>
      </c>
      <c r="E184" s="8" t="s">
        <v>766</v>
      </c>
      <c r="F184" s="8"/>
      <c r="G184" s="8" t="n">
        <v>10</v>
      </c>
      <c r="H184" s="13" t="n">
        <v>46339</v>
      </c>
      <c r="I184" s="8"/>
      <c r="J184" s="14"/>
      <c r="K184" s="15"/>
      <c r="L184" s="14"/>
      <c r="M184" s="14"/>
      <c r="N184" s="14"/>
    </row>
    <row r="185" customFormat="false" ht="35.05" hidden="false" customHeight="false" outlineLevel="0" collapsed="false">
      <c r="A185" s="8" t="s">
        <v>767</v>
      </c>
      <c r="B185" s="8" t="s">
        <v>40</v>
      </c>
      <c r="C185" s="8" t="s">
        <v>768</v>
      </c>
      <c r="D185" s="8" t="s">
        <v>769</v>
      </c>
      <c r="E185" s="8" t="s">
        <v>770</v>
      </c>
      <c r="F185" s="8" t="s">
        <v>595</v>
      </c>
      <c r="G185" s="8" t="n">
        <v>10</v>
      </c>
      <c r="H185" s="13" t="n">
        <v>46339</v>
      </c>
      <c r="I185" s="8"/>
      <c r="J185" s="14"/>
      <c r="K185" s="15"/>
      <c r="L185" s="14"/>
      <c r="M185" s="14"/>
      <c r="N185" s="14"/>
    </row>
    <row r="186" customFormat="false" ht="35.05" hidden="false" customHeight="false" outlineLevel="0" collapsed="false">
      <c r="A186" s="8" t="s">
        <v>771</v>
      </c>
      <c r="B186" s="8" t="s">
        <v>40</v>
      </c>
      <c r="C186" s="8" t="s">
        <v>772</v>
      </c>
      <c r="D186" s="8" t="s">
        <v>773</v>
      </c>
      <c r="E186" s="8" t="s">
        <v>774</v>
      </c>
      <c r="F186" s="8" t="s">
        <v>595</v>
      </c>
      <c r="G186" s="8" t="n">
        <v>10</v>
      </c>
      <c r="H186" s="13" t="n">
        <v>46339</v>
      </c>
      <c r="I186" s="8"/>
      <c r="J186" s="14"/>
      <c r="K186" s="15"/>
      <c r="L186" s="14"/>
      <c r="M186" s="14"/>
      <c r="N186" s="14"/>
    </row>
    <row r="187" customFormat="false" ht="35.05" hidden="false" customHeight="false" outlineLevel="0" collapsed="false">
      <c r="A187" s="8" t="s">
        <v>775</v>
      </c>
      <c r="B187" s="8" t="s">
        <v>40</v>
      </c>
      <c r="C187" s="8" t="s">
        <v>776</v>
      </c>
      <c r="D187" s="8" t="s">
        <v>777</v>
      </c>
      <c r="E187" s="8" t="s">
        <v>778</v>
      </c>
      <c r="F187" s="8" t="s">
        <v>252</v>
      </c>
      <c r="G187" s="8" t="n">
        <v>10</v>
      </c>
      <c r="H187" s="13" t="n">
        <v>46339</v>
      </c>
      <c r="I187" s="8"/>
      <c r="J187" s="14"/>
      <c r="K187" s="15"/>
      <c r="L187" s="14"/>
      <c r="M187" s="14"/>
      <c r="N187" s="14"/>
    </row>
    <row r="188" customFormat="false" ht="35.05" hidden="false" customHeight="false" outlineLevel="0" collapsed="false">
      <c r="A188" s="8" t="s">
        <v>779</v>
      </c>
      <c r="B188" s="8" t="s">
        <v>40</v>
      </c>
      <c r="C188" s="8" t="s">
        <v>780</v>
      </c>
      <c r="D188" s="8" t="s">
        <v>781</v>
      </c>
      <c r="E188" s="8" t="s">
        <v>782</v>
      </c>
      <c r="F188" s="8" t="s">
        <v>211</v>
      </c>
      <c r="G188" s="8" t="n">
        <v>10</v>
      </c>
      <c r="H188" s="13" t="n">
        <v>46339</v>
      </c>
      <c r="I188" s="8"/>
      <c r="J188" s="14"/>
      <c r="K188" s="15"/>
      <c r="L188" s="14"/>
      <c r="M188" s="14"/>
      <c r="N188" s="14"/>
    </row>
    <row r="189" customFormat="false" ht="35.05" hidden="false" customHeight="false" outlineLevel="0" collapsed="false">
      <c r="A189" s="8" t="s">
        <v>783</v>
      </c>
      <c r="B189" s="8" t="s">
        <v>40</v>
      </c>
      <c r="C189" s="8" t="s">
        <v>784</v>
      </c>
      <c r="D189" s="8" t="s">
        <v>785</v>
      </c>
      <c r="E189" s="8" t="s">
        <v>786</v>
      </c>
      <c r="F189" s="8"/>
      <c r="G189" s="8" t="n">
        <v>10</v>
      </c>
      <c r="H189" s="13" t="n">
        <v>46339</v>
      </c>
      <c r="I189" s="8"/>
      <c r="J189" s="14"/>
      <c r="K189" s="15"/>
      <c r="L189" s="14"/>
      <c r="M189" s="14"/>
      <c r="N189" s="14"/>
    </row>
    <row r="190" customFormat="false" ht="35.05" hidden="false" customHeight="false" outlineLevel="0" collapsed="false">
      <c r="A190" s="8" t="s">
        <v>787</v>
      </c>
      <c r="B190" s="8" t="s">
        <v>40</v>
      </c>
      <c r="C190" s="8" t="s">
        <v>788</v>
      </c>
      <c r="D190" s="8" t="s">
        <v>789</v>
      </c>
      <c r="E190" s="8" t="s">
        <v>790</v>
      </c>
      <c r="F190" s="8" t="s">
        <v>211</v>
      </c>
      <c r="G190" s="8" t="n">
        <v>10</v>
      </c>
      <c r="H190" s="13" t="n">
        <v>46339</v>
      </c>
      <c r="I190" s="8" t="s">
        <v>23</v>
      </c>
      <c r="J190" s="14"/>
      <c r="K190" s="15"/>
      <c r="L190" s="14"/>
      <c r="M190" s="14"/>
      <c r="N190" s="14"/>
    </row>
    <row r="191" customFormat="false" ht="35.05" hidden="false" customHeight="false" outlineLevel="0" collapsed="false">
      <c r="A191" s="8" t="s">
        <v>791</v>
      </c>
      <c r="B191" s="8" t="s">
        <v>40</v>
      </c>
      <c r="C191" s="8" t="s">
        <v>788</v>
      </c>
      <c r="D191" s="8" t="s">
        <v>792</v>
      </c>
      <c r="E191" s="8" t="s">
        <v>793</v>
      </c>
      <c r="F191" s="8" t="s">
        <v>455</v>
      </c>
      <c r="G191" s="8" t="n">
        <v>10</v>
      </c>
      <c r="H191" s="13" t="n">
        <v>46339</v>
      </c>
      <c r="I191" s="8"/>
      <c r="J191" s="14"/>
      <c r="K191" s="15"/>
      <c r="L191" s="14"/>
      <c r="M191" s="14"/>
      <c r="N191" s="14"/>
    </row>
    <row r="192" customFormat="false" ht="35.05" hidden="false" customHeight="false" outlineLevel="0" collapsed="false">
      <c r="A192" s="8" t="s">
        <v>794</v>
      </c>
      <c r="B192" s="8" t="s">
        <v>40</v>
      </c>
      <c r="C192" s="8" t="s">
        <v>788</v>
      </c>
      <c r="D192" s="8" t="s">
        <v>795</v>
      </c>
      <c r="E192" s="8" t="s">
        <v>796</v>
      </c>
      <c r="F192" s="8" t="s">
        <v>211</v>
      </c>
      <c r="G192" s="8" t="n">
        <v>10</v>
      </c>
      <c r="H192" s="13" t="n">
        <v>46339</v>
      </c>
      <c r="I192" s="8"/>
      <c r="J192" s="14"/>
      <c r="K192" s="15"/>
      <c r="L192" s="14"/>
      <c r="M192" s="14"/>
      <c r="N192" s="14"/>
    </row>
    <row r="193" customFormat="false" ht="35.05" hidden="false" customHeight="false" outlineLevel="0" collapsed="false">
      <c r="A193" s="8" t="s">
        <v>797</v>
      </c>
      <c r="B193" s="8" t="s">
        <v>40</v>
      </c>
      <c r="C193" s="8" t="s">
        <v>788</v>
      </c>
      <c r="D193" s="8" t="s">
        <v>798</v>
      </c>
      <c r="E193" s="8" t="s">
        <v>799</v>
      </c>
      <c r="F193" s="8"/>
      <c r="G193" s="8" t="n">
        <v>10</v>
      </c>
      <c r="H193" s="13" t="n">
        <v>46339</v>
      </c>
      <c r="I193" s="8"/>
      <c r="J193" s="14"/>
      <c r="K193" s="15"/>
      <c r="L193" s="14"/>
      <c r="M193" s="14"/>
      <c r="N193" s="14"/>
    </row>
    <row r="194" customFormat="false" ht="35.05" hidden="false" customHeight="false" outlineLevel="0" collapsed="false">
      <c r="A194" s="8" t="s">
        <v>800</v>
      </c>
      <c r="B194" s="8" t="s">
        <v>40</v>
      </c>
      <c r="C194" s="8" t="s">
        <v>801</v>
      </c>
      <c r="D194" s="8" t="s">
        <v>802</v>
      </c>
      <c r="E194" s="8" t="s">
        <v>803</v>
      </c>
      <c r="F194" s="8" t="s">
        <v>804</v>
      </c>
      <c r="G194" s="8" t="n">
        <v>10</v>
      </c>
      <c r="H194" s="13" t="n">
        <v>46339</v>
      </c>
      <c r="I194" s="8"/>
      <c r="J194" s="14"/>
      <c r="K194" s="15"/>
      <c r="L194" s="14"/>
      <c r="M194" s="14"/>
      <c r="N194" s="14"/>
    </row>
    <row r="195" customFormat="false" ht="35.05" hidden="false" customHeight="false" outlineLevel="0" collapsed="false">
      <c r="A195" s="8" t="s">
        <v>805</v>
      </c>
      <c r="B195" s="8" t="s">
        <v>41</v>
      </c>
      <c r="C195" s="8" t="s">
        <v>806</v>
      </c>
      <c r="D195" s="8" t="s">
        <v>807</v>
      </c>
      <c r="E195" s="8" t="s">
        <v>808</v>
      </c>
      <c r="F195" s="8" t="s">
        <v>211</v>
      </c>
      <c r="G195" s="8" t="n">
        <v>11</v>
      </c>
      <c r="H195" s="13" t="n">
        <v>46342</v>
      </c>
      <c r="I195" s="8"/>
      <c r="J195" s="14"/>
      <c r="K195" s="15"/>
      <c r="L195" s="14"/>
      <c r="M195" s="14"/>
      <c r="N195" s="14"/>
    </row>
    <row r="196" customFormat="false" ht="35.05" hidden="false" customHeight="false" outlineLevel="0" collapsed="false">
      <c r="A196" s="8" t="s">
        <v>809</v>
      </c>
      <c r="B196" s="8" t="s">
        <v>41</v>
      </c>
      <c r="C196" s="8" t="s">
        <v>810</v>
      </c>
      <c r="D196" s="8" t="s">
        <v>811</v>
      </c>
      <c r="E196" s="8" t="s">
        <v>812</v>
      </c>
      <c r="F196" s="8"/>
      <c r="G196" s="8" t="n">
        <v>11</v>
      </c>
      <c r="H196" s="13" t="n">
        <v>46342</v>
      </c>
      <c r="I196" s="8"/>
      <c r="J196" s="14"/>
      <c r="K196" s="15"/>
      <c r="L196" s="14"/>
      <c r="M196" s="14"/>
      <c r="N196" s="14"/>
    </row>
    <row r="197" customFormat="false" ht="35.05" hidden="false" customHeight="false" outlineLevel="0" collapsed="false">
      <c r="A197" s="8" t="s">
        <v>813</v>
      </c>
      <c r="B197" s="8" t="s">
        <v>41</v>
      </c>
      <c r="C197" s="8" t="s">
        <v>814</v>
      </c>
      <c r="D197" s="8" t="s">
        <v>815</v>
      </c>
      <c r="E197" s="8" t="s">
        <v>816</v>
      </c>
      <c r="F197" s="8"/>
      <c r="G197" s="8" t="n">
        <v>11</v>
      </c>
      <c r="H197" s="13" t="n">
        <v>46342</v>
      </c>
      <c r="I197" s="8"/>
      <c r="J197" s="14"/>
      <c r="K197" s="15"/>
      <c r="L197" s="14"/>
      <c r="M197" s="14"/>
      <c r="N197" s="14"/>
    </row>
    <row r="198" customFormat="false" ht="35.05" hidden="false" customHeight="false" outlineLevel="0" collapsed="false">
      <c r="A198" s="8" t="s">
        <v>817</v>
      </c>
      <c r="B198" s="8" t="s">
        <v>41</v>
      </c>
      <c r="C198" s="8" t="s">
        <v>818</v>
      </c>
      <c r="D198" s="8" t="s">
        <v>819</v>
      </c>
      <c r="E198" s="8" t="s">
        <v>820</v>
      </c>
      <c r="F198" s="8" t="s">
        <v>121</v>
      </c>
      <c r="G198" s="8" t="n">
        <v>11</v>
      </c>
      <c r="H198" s="13" t="n">
        <v>46342</v>
      </c>
      <c r="I198" s="8"/>
      <c r="J198" s="14"/>
      <c r="K198" s="15"/>
      <c r="L198" s="14"/>
      <c r="M198" s="14"/>
      <c r="N198" s="14"/>
    </row>
    <row r="199" customFormat="false" ht="35.05" hidden="false" customHeight="false" outlineLevel="0" collapsed="false">
      <c r="A199" s="8" t="s">
        <v>821</v>
      </c>
      <c r="B199" s="8" t="s">
        <v>41</v>
      </c>
      <c r="C199" s="8" t="s">
        <v>822</v>
      </c>
      <c r="D199" s="8" t="s">
        <v>823</v>
      </c>
      <c r="E199" s="8" t="s">
        <v>824</v>
      </c>
      <c r="F199" s="8"/>
      <c r="G199" s="8" t="n">
        <v>11</v>
      </c>
      <c r="H199" s="13" t="n">
        <v>46342</v>
      </c>
      <c r="I199" s="8"/>
      <c r="J199" s="14"/>
      <c r="K199" s="15"/>
      <c r="L199" s="14"/>
      <c r="M199" s="14"/>
      <c r="N199" s="14"/>
    </row>
    <row r="200" customFormat="false" ht="35.05" hidden="false" customHeight="false" outlineLevel="0" collapsed="false">
      <c r="A200" s="8" t="s">
        <v>825</v>
      </c>
      <c r="B200" s="8" t="s">
        <v>41</v>
      </c>
      <c r="C200" s="8" t="s">
        <v>826</v>
      </c>
      <c r="D200" s="8" t="s">
        <v>827</v>
      </c>
      <c r="E200" s="8" t="s">
        <v>828</v>
      </c>
      <c r="F200" s="8"/>
      <c r="G200" s="8" t="n">
        <v>11</v>
      </c>
      <c r="H200" s="13" t="n">
        <v>46342</v>
      </c>
      <c r="I200" s="8"/>
      <c r="J200" s="14"/>
      <c r="K200" s="15"/>
      <c r="L200" s="14"/>
      <c r="M200" s="14"/>
      <c r="N200" s="14"/>
    </row>
    <row r="201" customFormat="false" ht="35.05" hidden="false" customHeight="false" outlineLevel="0" collapsed="false">
      <c r="A201" s="8" t="s">
        <v>829</v>
      </c>
      <c r="B201" s="8" t="s">
        <v>41</v>
      </c>
      <c r="C201" s="8" t="s">
        <v>830</v>
      </c>
      <c r="D201" s="8" t="s">
        <v>831</v>
      </c>
      <c r="E201" s="8" t="s">
        <v>832</v>
      </c>
      <c r="F201" s="8" t="s">
        <v>190</v>
      </c>
      <c r="G201" s="8" t="n">
        <v>11</v>
      </c>
      <c r="H201" s="13" t="n">
        <v>46342</v>
      </c>
      <c r="I201" s="8"/>
      <c r="J201" s="14"/>
      <c r="K201" s="15"/>
      <c r="L201" s="14"/>
      <c r="M201" s="14"/>
      <c r="N201" s="14"/>
    </row>
    <row r="202" customFormat="false" ht="46.25" hidden="false" customHeight="false" outlineLevel="0" collapsed="false">
      <c r="A202" s="8" t="s">
        <v>833</v>
      </c>
      <c r="B202" s="8" t="s">
        <v>41</v>
      </c>
      <c r="C202" s="8" t="s">
        <v>834</v>
      </c>
      <c r="D202" s="8" t="s">
        <v>835</v>
      </c>
      <c r="E202" s="8" t="s">
        <v>836</v>
      </c>
      <c r="F202" s="8"/>
      <c r="G202" s="8" t="n">
        <v>11</v>
      </c>
      <c r="H202" s="13" t="n">
        <v>46342</v>
      </c>
      <c r="I202" s="8"/>
      <c r="J202" s="14"/>
      <c r="K202" s="15"/>
      <c r="L202" s="14"/>
      <c r="M202" s="14"/>
      <c r="N202" s="14"/>
    </row>
    <row r="203" customFormat="false" ht="35.05" hidden="false" customHeight="false" outlineLevel="0" collapsed="false">
      <c r="A203" s="8" t="s">
        <v>837</v>
      </c>
      <c r="B203" s="8" t="s">
        <v>41</v>
      </c>
      <c r="C203" s="8" t="s">
        <v>838</v>
      </c>
      <c r="D203" s="8" t="s">
        <v>839</v>
      </c>
      <c r="E203" s="8" t="s">
        <v>840</v>
      </c>
      <c r="F203" s="8"/>
      <c r="G203" s="8" t="n">
        <v>11</v>
      </c>
      <c r="H203" s="13" t="n">
        <v>46342</v>
      </c>
      <c r="I203" s="8"/>
      <c r="J203" s="14"/>
      <c r="K203" s="15"/>
      <c r="L203" s="14"/>
      <c r="M203" s="14"/>
      <c r="N203" s="14"/>
    </row>
    <row r="204" customFormat="false" ht="35.05" hidden="false" customHeight="false" outlineLevel="0" collapsed="false">
      <c r="A204" s="8" t="s">
        <v>841</v>
      </c>
      <c r="B204" s="8" t="s">
        <v>41</v>
      </c>
      <c r="C204" s="8" t="s">
        <v>842</v>
      </c>
      <c r="D204" s="8" t="s">
        <v>843</v>
      </c>
      <c r="E204" s="8" t="s">
        <v>844</v>
      </c>
      <c r="F204" s="8"/>
      <c r="G204" s="8" t="n">
        <v>11</v>
      </c>
      <c r="H204" s="13" t="n">
        <v>46342</v>
      </c>
      <c r="I204" s="8"/>
      <c r="J204" s="14"/>
      <c r="K204" s="15"/>
      <c r="L204" s="14"/>
      <c r="M204" s="14"/>
      <c r="N204" s="14"/>
    </row>
    <row r="205" customFormat="false" ht="35.05" hidden="false" customHeight="false" outlineLevel="0" collapsed="false">
      <c r="A205" s="8" t="s">
        <v>845</v>
      </c>
      <c r="B205" s="8" t="s">
        <v>41</v>
      </c>
      <c r="C205" s="8" t="s">
        <v>846</v>
      </c>
      <c r="D205" s="8" t="s">
        <v>847</v>
      </c>
      <c r="E205" s="8" t="s">
        <v>848</v>
      </c>
      <c r="F205" s="8"/>
      <c r="G205" s="8" t="n">
        <v>11</v>
      </c>
      <c r="H205" s="13" t="n">
        <v>46342</v>
      </c>
      <c r="I205" s="8"/>
      <c r="J205" s="14"/>
      <c r="K205" s="15"/>
      <c r="L205" s="14"/>
      <c r="M205" s="14"/>
      <c r="N205" s="14"/>
    </row>
    <row r="206" customFormat="false" ht="35.05" hidden="false" customHeight="false" outlineLevel="0" collapsed="false">
      <c r="A206" s="8" t="s">
        <v>849</v>
      </c>
      <c r="B206" s="8" t="s">
        <v>41</v>
      </c>
      <c r="C206" s="8" t="s">
        <v>850</v>
      </c>
      <c r="D206" s="8" t="s">
        <v>851</v>
      </c>
      <c r="E206" s="8" t="s">
        <v>852</v>
      </c>
      <c r="F206" s="8" t="s">
        <v>190</v>
      </c>
      <c r="G206" s="8" t="n">
        <v>11</v>
      </c>
      <c r="H206" s="13" t="n">
        <v>46342</v>
      </c>
      <c r="I206" s="8"/>
      <c r="J206" s="14"/>
      <c r="K206" s="15"/>
      <c r="L206" s="14"/>
      <c r="M206" s="14"/>
      <c r="N206" s="14"/>
    </row>
    <row r="207" customFormat="false" ht="57.45" hidden="false" customHeight="false" outlineLevel="0" collapsed="false">
      <c r="A207" s="8" t="s">
        <v>853</v>
      </c>
      <c r="B207" s="8" t="s">
        <v>41</v>
      </c>
      <c r="C207" s="8" t="s">
        <v>854</v>
      </c>
      <c r="D207" s="8" t="s">
        <v>855</v>
      </c>
      <c r="E207" s="8" t="s">
        <v>856</v>
      </c>
      <c r="F207" s="8" t="s">
        <v>190</v>
      </c>
      <c r="G207" s="8" t="n">
        <v>11</v>
      </c>
      <c r="H207" s="13" t="n">
        <v>46342</v>
      </c>
      <c r="I207" s="8" t="s">
        <v>23</v>
      </c>
      <c r="J207" s="14"/>
      <c r="K207" s="15"/>
      <c r="L207" s="14"/>
      <c r="M207" s="14"/>
      <c r="N207" s="14"/>
    </row>
    <row r="208" customFormat="false" ht="35.05" hidden="false" customHeight="false" outlineLevel="0" collapsed="false">
      <c r="A208" s="8" t="s">
        <v>857</v>
      </c>
      <c r="B208" s="8" t="s">
        <v>41</v>
      </c>
      <c r="C208" s="8" t="s">
        <v>858</v>
      </c>
      <c r="D208" s="8" t="s">
        <v>859</v>
      </c>
      <c r="E208" s="8" t="s">
        <v>860</v>
      </c>
      <c r="F208" s="8"/>
      <c r="G208" s="8" t="n">
        <v>11</v>
      </c>
      <c r="H208" s="13" t="n">
        <v>46342</v>
      </c>
      <c r="I208" s="8" t="s">
        <v>23</v>
      </c>
      <c r="J208" s="14"/>
      <c r="K208" s="15"/>
      <c r="L208" s="14"/>
      <c r="M208" s="14"/>
      <c r="N208" s="14"/>
    </row>
    <row r="209" customFormat="false" ht="35.05" hidden="false" customHeight="false" outlineLevel="0" collapsed="false">
      <c r="A209" s="8" t="s">
        <v>861</v>
      </c>
      <c r="B209" s="8" t="s">
        <v>41</v>
      </c>
      <c r="C209" s="8" t="s">
        <v>862</v>
      </c>
      <c r="D209" s="8" t="s">
        <v>863</v>
      </c>
      <c r="E209" s="8" t="s">
        <v>864</v>
      </c>
      <c r="F209" s="8" t="s">
        <v>865</v>
      </c>
      <c r="G209" s="8" t="n">
        <v>11</v>
      </c>
      <c r="H209" s="13" t="n">
        <v>46342</v>
      </c>
      <c r="I209" s="8"/>
      <c r="J209" s="14"/>
      <c r="K209" s="15"/>
      <c r="L209" s="14"/>
      <c r="M209" s="14"/>
      <c r="N209" s="14"/>
    </row>
    <row r="210" customFormat="false" ht="35.05" hidden="false" customHeight="false" outlineLevel="0" collapsed="false">
      <c r="A210" s="8" t="s">
        <v>866</v>
      </c>
      <c r="B210" s="8" t="s">
        <v>41</v>
      </c>
      <c r="C210" s="8" t="s">
        <v>867</v>
      </c>
      <c r="D210" s="8" t="s">
        <v>868</v>
      </c>
      <c r="E210" s="8" t="s">
        <v>869</v>
      </c>
      <c r="F210" s="8" t="s">
        <v>190</v>
      </c>
      <c r="G210" s="8" t="n">
        <v>11</v>
      </c>
      <c r="H210" s="13" t="n">
        <v>46342</v>
      </c>
      <c r="I210" s="8"/>
      <c r="J210" s="14"/>
      <c r="K210" s="15"/>
      <c r="L210" s="14"/>
      <c r="M210" s="14"/>
      <c r="N210" s="14"/>
    </row>
    <row r="211" customFormat="false" ht="35.05" hidden="false" customHeight="false" outlineLevel="0" collapsed="false">
      <c r="A211" s="8" t="s">
        <v>870</v>
      </c>
      <c r="B211" s="8" t="s">
        <v>41</v>
      </c>
      <c r="C211" s="8" t="s">
        <v>871</v>
      </c>
      <c r="D211" s="8" t="s">
        <v>872</v>
      </c>
      <c r="E211" s="8" t="s">
        <v>873</v>
      </c>
      <c r="F211" s="8" t="s">
        <v>121</v>
      </c>
      <c r="G211" s="8" t="n">
        <v>11</v>
      </c>
      <c r="H211" s="13" t="n">
        <v>46342</v>
      </c>
      <c r="I211" s="8"/>
      <c r="J211" s="14"/>
      <c r="K211" s="15"/>
      <c r="L211" s="14"/>
      <c r="M211" s="14"/>
      <c r="N211" s="14"/>
    </row>
    <row r="212" customFormat="false" ht="35.05" hidden="false" customHeight="false" outlineLevel="0" collapsed="false">
      <c r="A212" s="8" t="s">
        <v>874</v>
      </c>
      <c r="B212" s="8" t="s">
        <v>41</v>
      </c>
      <c r="C212" s="8" t="s">
        <v>875</v>
      </c>
      <c r="D212" s="8" t="s">
        <v>876</v>
      </c>
      <c r="E212" s="8" t="s">
        <v>877</v>
      </c>
      <c r="F212" s="8"/>
      <c r="G212" s="8" t="n">
        <v>11</v>
      </c>
      <c r="H212" s="13" t="n">
        <v>46342</v>
      </c>
      <c r="I212" s="8"/>
      <c r="J212" s="14"/>
      <c r="K212" s="15"/>
      <c r="L212" s="14"/>
      <c r="M212" s="14"/>
      <c r="N212" s="14"/>
    </row>
    <row r="213" customFormat="false" ht="35.05" hidden="false" customHeight="false" outlineLevel="0" collapsed="false">
      <c r="A213" s="8" t="s">
        <v>878</v>
      </c>
      <c r="B213" s="8" t="s">
        <v>41</v>
      </c>
      <c r="C213" s="8" t="s">
        <v>879</v>
      </c>
      <c r="D213" s="8" t="s">
        <v>880</v>
      </c>
      <c r="E213" s="8" t="s">
        <v>881</v>
      </c>
      <c r="F213" s="8" t="s">
        <v>882</v>
      </c>
      <c r="G213" s="8" t="n">
        <v>11</v>
      </c>
      <c r="H213" s="13" t="n">
        <v>46342</v>
      </c>
      <c r="I213" s="8"/>
      <c r="J213" s="14"/>
      <c r="K213" s="15"/>
      <c r="L213" s="14"/>
      <c r="M213" s="14"/>
      <c r="N213" s="14"/>
    </row>
    <row r="214" customFormat="false" ht="35.05" hidden="false" customHeight="false" outlineLevel="0" collapsed="false">
      <c r="A214" s="8" t="s">
        <v>883</v>
      </c>
      <c r="B214" s="8" t="s">
        <v>41</v>
      </c>
      <c r="C214" s="8" t="s">
        <v>884</v>
      </c>
      <c r="D214" s="8" t="s">
        <v>885</v>
      </c>
      <c r="E214" s="8" t="s">
        <v>886</v>
      </c>
      <c r="F214" s="8"/>
      <c r="G214" s="8" t="n">
        <v>12</v>
      </c>
      <c r="H214" s="13" t="n">
        <v>46343</v>
      </c>
      <c r="I214" s="8" t="s">
        <v>23</v>
      </c>
      <c r="J214" s="14"/>
      <c r="K214" s="15"/>
      <c r="L214" s="14"/>
      <c r="M214" s="14"/>
      <c r="N214" s="14"/>
    </row>
    <row r="215" customFormat="false" ht="35.05" hidden="false" customHeight="false" outlineLevel="0" collapsed="false">
      <c r="A215" s="8" t="s">
        <v>887</v>
      </c>
      <c r="B215" s="8" t="s">
        <v>41</v>
      </c>
      <c r="C215" s="8" t="s">
        <v>888</v>
      </c>
      <c r="D215" s="8" t="s">
        <v>889</v>
      </c>
      <c r="E215" s="8" t="s">
        <v>890</v>
      </c>
      <c r="F215" s="8" t="s">
        <v>240</v>
      </c>
      <c r="G215" s="8" t="n">
        <v>12</v>
      </c>
      <c r="H215" s="13" t="n">
        <v>46343</v>
      </c>
      <c r="I215" s="8"/>
      <c r="J215" s="14"/>
      <c r="K215" s="15"/>
      <c r="L215" s="14"/>
      <c r="M215" s="14"/>
      <c r="N215" s="14"/>
    </row>
    <row r="216" customFormat="false" ht="57.45" hidden="false" customHeight="false" outlineLevel="0" collapsed="false">
      <c r="A216" s="8" t="s">
        <v>891</v>
      </c>
      <c r="B216" s="8" t="s">
        <v>41</v>
      </c>
      <c r="C216" s="8" t="s">
        <v>892</v>
      </c>
      <c r="D216" s="8" t="s">
        <v>893</v>
      </c>
      <c r="E216" s="8" t="s">
        <v>894</v>
      </c>
      <c r="F216" s="8" t="s">
        <v>895</v>
      </c>
      <c r="G216" s="8" t="n">
        <v>12</v>
      </c>
      <c r="H216" s="13" t="n">
        <v>46343</v>
      </c>
      <c r="I216" s="8" t="s">
        <v>23</v>
      </c>
      <c r="J216" s="14"/>
      <c r="K216" s="15"/>
      <c r="L216" s="14"/>
      <c r="M216" s="14"/>
      <c r="N216" s="14"/>
    </row>
    <row r="217" customFormat="false" ht="35.05" hidden="false" customHeight="false" outlineLevel="0" collapsed="false">
      <c r="A217" s="8" t="s">
        <v>896</v>
      </c>
      <c r="B217" s="8" t="s">
        <v>41</v>
      </c>
      <c r="C217" s="8" t="s">
        <v>897</v>
      </c>
      <c r="D217" s="8" t="s">
        <v>898</v>
      </c>
      <c r="E217" s="8" t="s">
        <v>899</v>
      </c>
      <c r="F217" s="8" t="s">
        <v>121</v>
      </c>
      <c r="G217" s="8" t="n">
        <v>12</v>
      </c>
      <c r="H217" s="13" t="n">
        <v>46343</v>
      </c>
      <c r="I217" s="8"/>
      <c r="J217" s="14"/>
      <c r="K217" s="15"/>
      <c r="L217" s="14"/>
      <c r="M217" s="14"/>
      <c r="N217" s="14"/>
    </row>
    <row r="218" customFormat="false" ht="35.05" hidden="false" customHeight="false" outlineLevel="0" collapsed="false">
      <c r="A218" s="8" t="s">
        <v>900</v>
      </c>
      <c r="B218" s="8" t="s">
        <v>41</v>
      </c>
      <c r="C218" s="8" t="s">
        <v>901</v>
      </c>
      <c r="D218" s="8" t="s">
        <v>902</v>
      </c>
      <c r="E218" s="8" t="s">
        <v>903</v>
      </c>
      <c r="F218" s="8" t="s">
        <v>435</v>
      </c>
      <c r="G218" s="8" t="n">
        <v>12</v>
      </c>
      <c r="H218" s="13" t="n">
        <v>46343</v>
      </c>
      <c r="I218" s="8"/>
      <c r="J218" s="14"/>
      <c r="K218" s="15"/>
      <c r="L218" s="14"/>
      <c r="M218" s="14"/>
      <c r="N218" s="14"/>
    </row>
    <row r="219" customFormat="false" ht="35.05" hidden="false" customHeight="false" outlineLevel="0" collapsed="false">
      <c r="A219" s="8" t="s">
        <v>904</v>
      </c>
      <c r="B219" s="8" t="s">
        <v>41</v>
      </c>
      <c r="C219" s="8" t="s">
        <v>905</v>
      </c>
      <c r="D219" s="8" t="s">
        <v>906</v>
      </c>
      <c r="E219" s="8" t="s">
        <v>907</v>
      </c>
      <c r="F219" s="8" t="s">
        <v>240</v>
      </c>
      <c r="G219" s="8" t="n">
        <v>12</v>
      </c>
      <c r="H219" s="13" t="n">
        <v>46343</v>
      </c>
      <c r="I219" s="8"/>
      <c r="J219" s="14"/>
      <c r="K219" s="15"/>
      <c r="L219" s="14"/>
      <c r="M219" s="14"/>
      <c r="N219" s="14"/>
    </row>
    <row r="220" customFormat="false" ht="35.05" hidden="false" customHeight="false" outlineLevel="0" collapsed="false">
      <c r="A220" s="8" t="s">
        <v>908</v>
      </c>
      <c r="B220" s="8" t="s">
        <v>41</v>
      </c>
      <c r="C220" s="8" t="s">
        <v>909</v>
      </c>
      <c r="D220" s="8" t="s">
        <v>910</v>
      </c>
      <c r="E220" s="8" t="s">
        <v>911</v>
      </c>
      <c r="F220" s="8" t="s">
        <v>912</v>
      </c>
      <c r="G220" s="8" t="n">
        <v>12</v>
      </c>
      <c r="H220" s="13" t="n">
        <v>46343</v>
      </c>
      <c r="I220" s="8"/>
      <c r="J220" s="14"/>
      <c r="K220" s="15"/>
      <c r="L220" s="14"/>
      <c r="M220" s="14"/>
      <c r="N220" s="14"/>
    </row>
    <row r="221" customFormat="false" ht="35.05" hidden="false" customHeight="false" outlineLevel="0" collapsed="false">
      <c r="A221" s="8" t="s">
        <v>913</v>
      </c>
      <c r="B221" s="8" t="s">
        <v>41</v>
      </c>
      <c r="C221" s="8" t="s">
        <v>914</v>
      </c>
      <c r="D221" s="8" t="s">
        <v>915</v>
      </c>
      <c r="E221" s="8" t="s">
        <v>916</v>
      </c>
      <c r="F221" s="8" t="s">
        <v>917</v>
      </c>
      <c r="G221" s="8" t="n">
        <v>12</v>
      </c>
      <c r="H221" s="13" t="n">
        <v>46343</v>
      </c>
      <c r="I221" s="8" t="s">
        <v>23</v>
      </c>
      <c r="J221" s="14"/>
      <c r="K221" s="15"/>
      <c r="L221" s="14"/>
      <c r="M221" s="14"/>
      <c r="N221" s="14"/>
    </row>
    <row r="222" customFormat="false" ht="35.05" hidden="false" customHeight="false" outlineLevel="0" collapsed="false">
      <c r="A222" s="8" t="s">
        <v>918</v>
      </c>
      <c r="B222" s="8" t="s">
        <v>41</v>
      </c>
      <c r="C222" s="8" t="s">
        <v>919</v>
      </c>
      <c r="D222" s="8" t="s">
        <v>920</v>
      </c>
      <c r="E222" s="8" t="s">
        <v>921</v>
      </c>
      <c r="F222" s="8" t="s">
        <v>252</v>
      </c>
      <c r="G222" s="8" t="n">
        <v>12</v>
      </c>
      <c r="H222" s="13" t="n">
        <v>46343</v>
      </c>
      <c r="I222" s="8"/>
      <c r="J222" s="14"/>
      <c r="K222" s="15"/>
      <c r="L222" s="14"/>
      <c r="M222" s="14"/>
      <c r="N222" s="14"/>
    </row>
    <row r="223" customFormat="false" ht="35.05" hidden="false" customHeight="false" outlineLevel="0" collapsed="false">
      <c r="A223" s="8" t="s">
        <v>922</v>
      </c>
      <c r="B223" s="8" t="s">
        <v>41</v>
      </c>
      <c r="C223" s="8" t="s">
        <v>923</v>
      </c>
      <c r="D223" s="8" t="s">
        <v>924</v>
      </c>
      <c r="E223" s="8" t="s">
        <v>925</v>
      </c>
      <c r="F223" s="8"/>
      <c r="G223" s="8" t="n">
        <v>12</v>
      </c>
      <c r="H223" s="13" t="n">
        <v>46343</v>
      </c>
      <c r="I223" s="8"/>
      <c r="J223" s="14"/>
      <c r="K223" s="15"/>
      <c r="L223" s="14"/>
      <c r="M223" s="14"/>
      <c r="N223" s="14"/>
    </row>
    <row r="224" customFormat="false" ht="35.05" hidden="false" customHeight="false" outlineLevel="0" collapsed="false">
      <c r="A224" s="8" t="s">
        <v>926</v>
      </c>
      <c r="B224" s="8" t="s">
        <v>41</v>
      </c>
      <c r="C224" s="8" t="s">
        <v>927</v>
      </c>
      <c r="D224" s="8" t="s">
        <v>928</v>
      </c>
      <c r="E224" s="8" t="s">
        <v>929</v>
      </c>
      <c r="F224" s="8" t="s">
        <v>240</v>
      </c>
      <c r="G224" s="8" t="n">
        <v>12</v>
      </c>
      <c r="H224" s="13" t="n">
        <v>46343</v>
      </c>
      <c r="I224" s="8"/>
      <c r="J224" s="14"/>
      <c r="K224" s="15"/>
      <c r="L224" s="14"/>
      <c r="M224" s="14"/>
      <c r="N224" s="14"/>
    </row>
    <row r="225" customFormat="false" ht="35.05" hidden="false" customHeight="false" outlineLevel="0" collapsed="false">
      <c r="A225" s="8" t="s">
        <v>930</v>
      </c>
      <c r="B225" s="8" t="s">
        <v>41</v>
      </c>
      <c r="C225" s="8" t="s">
        <v>931</v>
      </c>
      <c r="D225" s="8" t="s">
        <v>932</v>
      </c>
      <c r="E225" s="8" t="s">
        <v>933</v>
      </c>
      <c r="F225" s="8"/>
      <c r="G225" s="8" t="n">
        <v>12</v>
      </c>
      <c r="H225" s="13" t="n">
        <v>46343</v>
      </c>
      <c r="I225" s="8"/>
      <c r="J225" s="14"/>
      <c r="K225" s="15"/>
      <c r="L225" s="14"/>
      <c r="M225" s="14"/>
      <c r="N225" s="14"/>
    </row>
    <row r="226" customFormat="false" ht="35.05" hidden="false" customHeight="false" outlineLevel="0" collapsed="false">
      <c r="A226" s="8" t="s">
        <v>934</v>
      </c>
      <c r="B226" s="8" t="s">
        <v>41</v>
      </c>
      <c r="C226" s="8" t="s">
        <v>935</v>
      </c>
      <c r="D226" s="8" t="s">
        <v>936</v>
      </c>
      <c r="E226" s="8" t="s">
        <v>937</v>
      </c>
      <c r="F226" s="8" t="s">
        <v>882</v>
      </c>
      <c r="G226" s="8" t="n">
        <v>12</v>
      </c>
      <c r="H226" s="13" t="n">
        <v>46343</v>
      </c>
      <c r="I226" s="8"/>
      <c r="J226" s="14"/>
      <c r="K226" s="15"/>
      <c r="L226" s="14"/>
      <c r="M226" s="14"/>
      <c r="N226" s="14"/>
    </row>
    <row r="227" customFormat="false" ht="35.05" hidden="false" customHeight="false" outlineLevel="0" collapsed="false">
      <c r="A227" s="8" t="s">
        <v>938</v>
      </c>
      <c r="B227" s="8" t="s">
        <v>41</v>
      </c>
      <c r="C227" s="8" t="s">
        <v>939</v>
      </c>
      <c r="D227" s="8" t="s">
        <v>940</v>
      </c>
      <c r="E227" s="8" t="s">
        <v>941</v>
      </c>
      <c r="F227" s="8"/>
      <c r="G227" s="8" t="n">
        <v>12</v>
      </c>
      <c r="H227" s="13" t="n">
        <v>46343</v>
      </c>
      <c r="I227" s="8" t="s">
        <v>23</v>
      </c>
      <c r="J227" s="14"/>
      <c r="K227" s="15"/>
      <c r="L227" s="14"/>
      <c r="M227" s="14"/>
      <c r="N227" s="14"/>
    </row>
    <row r="228" customFormat="false" ht="35.05" hidden="false" customHeight="false" outlineLevel="0" collapsed="false">
      <c r="A228" s="8" t="s">
        <v>942</v>
      </c>
      <c r="B228" s="8" t="s">
        <v>41</v>
      </c>
      <c r="C228" s="8" t="s">
        <v>943</v>
      </c>
      <c r="D228" s="8" t="s">
        <v>944</v>
      </c>
      <c r="E228" s="8" t="s">
        <v>945</v>
      </c>
      <c r="F228" s="8" t="s">
        <v>211</v>
      </c>
      <c r="G228" s="8" t="n">
        <v>12</v>
      </c>
      <c r="H228" s="13" t="n">
        <v>46343</v>
      </c>
      <c r="I228" s="8"/>
      <c r="J228" s="14"/>
      <c r="K228" s="15"/>
      <c r="L228" s="14"/>
      <c r="M228" s="14"/>
      <c r="N228" s="14"/>
    </row>
    <row r="229" customFormat="false" ht="35.05" hidden="false" customHeight="false" outlineLevel="0" collapsed="false">
      <c r="A229" s="8" t="s">
        <v>946</v>
      </c>
      <c r="B229" s="8" t="s">
        <v>41</v>
      </c>
      <c r="C229" s="8" t="s">
        <v>947</v>
      </c>
      <c r="D229" s="8" t="s">
        <v>948</v>
      </c>
      <c r="E229" s="8" t="s">
        <v>949</v>
      </c>
      <c r="F229" s="8" t="s">
        <v>240</v>
      </c>
      <c r="G229" s="8" t="n">
        <v>12</v>
      </c>
      <c r="H229" s="13" t="n">
        <v>46343</v>
      </c>
      <c r="I229" s="8"/>
      <c r="J229" s="14"/>
      <c r="K229" s="15"/>
      <c r="L229" s="14"/>
      <c r="M229" s="14"/>
      <c r="N229" s="14"/>
    </row>
    <row r="230" customFormat="false" ht="35.05" hidden="false" customHeight="false" outlineLevel="0" collapsed="false">
      <c r="A230" s="8" t="s">
        <v>950</v>
      </c>
      <c r="B230" s="8" t="s">
        <v>41</v>
      </c>
      <c r="C230" s="8" t="s">
        <v>951</v>
      </c>
      <c r="D230" s="8" t="s">
        <v>952</v>
      </c>
      <c r="E230" s="8" t="s">
        <v>953</v>
      </c>
      <c r="F230" s="8" t="s">
        <v>240</v>
      </c>
      <c r="G230" s="8" t="n">
        <v>12</v>
      </c>
      <c r="H230" s="13" t="n">
        <v>46343</v>
      </c>
      <c r="I230" s="8"/>
      <c r="J230" s="14"/>
      <c r="K230" s="15"/>
      <c r="L230" s="14"/>
      <c r="M230" s="14"/>
      <c r="N230" s="14"/>
    </row>
    <row r="231" customFormat="false" ht="35.05" hidden="false" customHeight="false" outlineLevel="0" collapsed="false">
      <c r="A231" s="8" t="s">
        <v>954</v>
      </c>
      <c r="B231" s="8" t="s">
        <v>41</v>
      </c>
      <c r="C231" s="8" t="s">
        <v>955</v>
      </c>
      <c r="D231" s="8" t="s">
        <v>956</v>
      </c>
      <c r="E231" s="8" t="s">
        <v>957</v>
      </c>
      <c r="F231" s="8" t="s">
        <v>211</v>
      </c>
      <c r="G231" s="8" t="n">
        <v>12</v>
      </c>
      <c r="H231" s="13" t="n">
        <v>46343</v>
      </c>
      <c r="I231" s="8"/>
      <c r="J231" s="14"/>
      <c r="K231" s="15"/>
      <c r="L231" s="14"/>
      <c r="M231" s="14"/>
      <c r="N231" s="14"/>
    </row>
    <row r="232" customFormat="false" ht="35.05" hidden="false" customHeight="false" outlineLevel="0" collapsed="false">
      <c r="A232" s="8" t="s">
        <v>958</v>
      </c>
      <c r="B232" s="8" t="s">
        <v>41</v>
      </c>
      <c r="C232" s="8" t="s">
        <v>959</v>
      </c>
      <c r="D232" s="8" t="s">
        <v>960</v>
      </c>
      <c r="E232" s="8" t="s">
        <v>961</v>
      </c>
      <c r="F232" s="8" t="s">
        <v>435</v>
      </c>
      <c r="G232" s="8" t="n">
        <v>12</v>
      </c>
      <c r="H232" s="13" t="n">
        <v>46343</v>
      </c>
      <c r="I232" s="8"/>
      <c r="J232" s="14"/>
      <c r="K232" s="15"/>
      <c r="L232" s="14"/>
      <c r="M232" s="14"/>
      <c r="N232" s="14"/>
    </row>
    <row r="233" customFormat="false" ht="35.05" hidden="false" customHeight="false" outlineLevel="0" collapsed="false">
      <c r="A233" s="8" t="s">
        <v>962</v>
      </c>
      <c r="B233" s="8" t="s">
        <v>41</v>
      </c>
      <c r="C233" s="8" t="s">
        <v>963</v>
      </c>
      <c r="D233" s="8" t="s">
        <v>964</v>
      </c>
      <c r="E233" s="8" t="s">
        <v>965</v>
      </c>
      <c r="F233" s="8" t="s">
        <v>240</v>
      </c>
      <c r="G233" s="8" t="n">
        <v>12</v>
      </c>
      <c r="H233" s="13" t="n">
        <v>46343</v>
      </c>
      <c r="I233" s="8"/>
      <c r="J233" s="14"/>
      <c r="K233" s="15"/>
      <c r="L233" s="14"/>
      <c r="M233" s="14"/>
      <c r="N233" s="14"/>
    </row>
    <row r="234" customFormat="false" ht="35.05" hidden="false" customHeight="false" outlineLevel="0" collapsed="false">
      <c r="A234" s="8" t="s">
        <v>966</v>
      </c>
      <c r="B234" s="8" t="s">
        <v>41</v>
      </c>
      <c r="C234" s="8" t="s">
        <v>967</v>
      </c>
      <c r="D234" s="8" t="s">
        <v>968</v>
      </c>
      <c r="E234" s="8" t="s">
        <v>969</v>
      </c>
      <c r="F234" s="8" t="s">
        <v>240</v>
      </c>
      <c r="G234" s="8" t="n">
        <v>12</v>
      </c>
      <c r="H234" s="13" t="n">
        <v>46343</v>
      </c>
      <c r="I234" s="8"/>
      <c r="J234" s="14"/>
      <c r="K234" s="15"/>
      <c r="L234" s="14"/>
      <c r="M234" s="14"/>
      <c r="N234" s="14"/>
    </row>
    <row r="235" customFormat="false" ht="35.05" hidden="false" customHeight="false" outlineLevel="0" collapsed="false">
      <c r="A235" s="8" t="s">
        <v>970</v>
      </c>
      <c r="B235" s="8" t="s">
        <v>41</v>
      </c>
      <c r="C235" s="8" t="s">
        <v>971</v>
      </c>
      <c r="D235" s="8" t="s">
        <v>972</v>
      </c>
      <c r="E235" s="8" t="s">
        <v>973</v>
      </c>
      <c r="F235" s="8" t="s">
        <v>252</v>
      </c>
      <c r="G235" s="8" t="n">
        <v>12</v>
      </c>
      <c r="H235" s="13" t="n">
        <v>46343</v>
      </c>
      <c r="I235" s="8"/>
      <c r="J235" s="14"/>
      <c r="K235" s="15"/>
      <c r="L235" s="14"/>
      <c r="M235" s="14"/>
      <c r="N235" s="14"/>
    </row>
    <row r="236" customFormat="false" ht="35.05" hidden="false" customHeight="false" outlineLevel="0" collapsed="false">
      <c r="A236" s="8" t="s">
        <v>974</v>
      </c>
      <c r="B236" s="8" t="s">
        <v>41</v>
      </c>
      <c r="C236" s="8" t="s">
        <v>975</v>
      </c>
      <c r="D236" s="8" t="s">
        <v>976</v>
      </c>
      <c r="E236" s="8" t="s">
        <v>977</v>
      </c>
      <c r="F236" s="8" t="s">
        <v>978</v>
      </c>
      <c r="G236" s="8" t="n">
        <v>12</v>
      </c>
      <c r="H236" s="13" t="n">
        <v>46343</v>
      </c>
      <c r="I236" s="8" t="s">
        <v>23</v>
      </c>
      <c r="J236" s="14"/>
      <c r="K236" s="15"/>
      <c r="L236" s="14"/>
      <c r="M236" s="14"/>
      <c r="N236" s="14"/>
    </row>
    <row r="237" customFormat="false" ht="35.05" hidden="false" customHeight="false" outlineLevel="0" collapsed="false">
      <c r="A237" s="8" t="s">
        <v>979</v>
      </c>
      <c r="B237" s="8" t="s">
        <v>41</v>
      </c>
      <c r="C237" s="8" t="s">
        <v>980</v>
      </c>
      <c r="D237" s="8" t="s">
        <v>981</v>
      </c>
      <c r="E237" s="8" t="s">
        <v>982</v>
      </c>
      <c r="F237" s="8" t="s">
        <v>983</v>
      </c>
      <c r="G237" s="8" t="n">
        <v>12</v>
      </c>
      <c r="H237" s="13" t="n">
        <v>46343</v>
      </c>
      <c r="I237" s="8"/>
      <c r="J237" s="14"/>
      <c r="K237" s="15"/>
      <c r="L237" s="14"/>
      <c r="M237" s="14"/>
      <c r="N237" s="14"/>
    </row>
    <row r="238" customFormat="false" ht="35.05" hidden="false" customHeight="false" outlineLevel="0" collapsed="false">
      <c r="A238" s="8" t="s">
        <v>984</v>
      </c>
      <c r="B238" s="8" t="s">
        <v>41</v>
      </c>
      <c r="C238" s="8" t="s">
        <v>985</v>
      </c>
      <c r="D238" s="8" t="s">
        <v>986</v>
      </c>
      <c r="E238" s="8" t="s">
        <v>987</v>
      </c>
      <c r="F238" s="8" t="s">
        <v>252</v>
      </c>
      <c r="G238" s="8" t="n">
        <v>12</v>
      </c>
      <c r="H238" s="13" t="n">
        <v>46343</v>
      </c>
      <c r="I238" s="8"/>
      <c r="J238" s="14"/>
      <c r="K238" s="15"/>
      <c r="L238" s="14"/>
      <c r="M238" s="14"/>
      <c r="N238" s="14"/>
    </row>
    <row r="239" customFormat="false" ht="46.25" hidden="false" customHeight="false" outlineLevel="0" collapsed="false">
      <c r="A239" s="8" t="s">
        <v>988</v>
      </c>
      <c r="B239" s="8" t="s">
        <v>41</v>
      </c>
      <c r="C239" s="8" t="s">
        <v>989</v>
      </c>
      <c r="D239" s="8" t="s">
        <v>990</v>
      </c>
      <c r="E239" s="8" t="s">
        <v>991</v>
      </c>
      <c r="F239" s="8"/>
      <c r="G239" s="8" t="n">
        <v>13</v>
      </c>
      <c r="H239" s="13" t="n">
        <v>46344</v>
      </c>
      <c r="I239" s="8"/>
      <c r="J239" s="14"/>
      <c r="K239" s="15"/>
      <c r="L239" s="14"/>
      <c r="M239" s="14"/>
      <c r="N239" s="14"/>
    </row>
    <row r="240" customFormat="false" ht="35.05" hidden="false" customHeight="false" outlineLevel="0" collapsed="false">
      <c r="A240" s="8" t="s">
        <v>992</v>
      </c>
      <c r="B240" s="8" t="s">
        <v>41</v>
      </c>
      <c r="C240" s="8" t="s">
        <v>993</v>
      </c>
      <c r="D240" s="8" t="s">
        <v>994</v>
      </c>
      <c r="E240" s="8" t="s">
        <v>995</v>
      </c>
      <c r="F240" s="8" t="s">
        <v>435</v>
      </c>
      <c r="G240" s="8" t="n">
        <v>13</v>
      </c>
      <c r="H240" s="13" t="n">
        <v>46344</v>
      </c>
      <c r="I240" s="8" t="s">
        <v>23</v>
      </c>
      <c r="J240" s="14"/>
      <c r="K240" s="15"/>
      <c r="L240" s="14"/>
      <c r="M240" s="14"/>
      <c r="N240" s="14"/>
    </row>
    <row r="241" customFormat="false" ht="35.05" hidden="false" customHeight="false" outlineLevel="0" collapsed="false">
      <c r="A241" s="8" t="s">
        <v>996</v>
      </c>
      <c r="B241" s="8" t="s">
        <v>41</v>
      </c>
      <c r="C241" s="8" t="s">
        <v>997</v>
      </c>
      <c r="D241" s="8" t="s">
        <v>998</v>
      </c>
      <c r="E241" s="8" t="s">
        <v>999</v>
      </c>
      <c r="F241" s="8" t="s">
        <v>1000</v>
      </c>
      <c r="G241" s="8" t="n">
        <v>13</v>
      </c>
      <c r="H241" s="13" t="n">
        <v>46344</v>
      </c>
      <c r="I241" s="8" t="s">
        <v>23</v>
      </c>
      <c r="J241" s="14"/>
      <c r="K241" s="15"/>
      <c r="L241" s="14"/>
      <c r="M241" s="14"/>
      <c r="N241" s="14"/>
    </row>
    <row r="242" customFormat="false" ht="35.05" hidden="false" customHeight="false" outlineLevel="0" collapsed="false">
      <c r="A242" s="8" t="s">
        <v>1001</v>
      </c>
      <c r="B242" s="8" t="s">
        <v>41</v>
      </c>
      <c r="C242" s="8" t="s">
        <v>1002</v>
      </c>
      <c r="D242" s="8" t="s">
        <v>1003</v>
      </c>
      <c r="E242" s="8" t="s">
        <v>1004</v>
      </c>
      <c r="F242" s="8" t="s">
        <v>1005</v>
      </c>
      <c r="G242" s="8" t="n">
        <v>13</v>
      </c>
      <c r="H242" s="13" t="n">
        <v>46344</v>
      </c>
      <c r="I242" s="8"/>
      <c r="J242" s="14"/>
      <c r="K242" s="15"/>
      <c r="L242" s="14"/>
      <c r="M242" s="14"/>
      <c r="N242" s="14"/>
    </row>
    <row r="243" customFormat="false" ht="35.05" hidden="false" customHeight="false" outlineLevel="0" collapsed="false">
      <c r="A243" s="8" t="s">
        <v>1006</v>
      </c>
      <c r="B243" s="8" t="s">
        <v>41</v>
      </c>
      <c r="C243" s="8" t="s">
        <v>1007</v>
      </c>
      <c r="D243" s="8" t="s">
        <v>1008</v>
      </c>
      <c r="E243" s="8" t="s">
        <v>1009</v>
      </c>
      <c r="F243" s="8" t="s">
        <v>435</v>
      </c>
      <c r="G243" s="8" t="n">
        <v>13</v>
      </c>
      <c r="H243" s="13" t="n">
        <v>46344</v>
      </c>
      <c r="I243" s="8"/>
      <c r="J243" s="14"/>
      <c r="K243" s="15"/>
      <c r="L243" s="14"/>
      <c r="M243" s="14"/>
      <c r="N243" s="14"/>
    </row>
    <row r="244" customFormat="false" ht="35.05" hidden="false" customHeight="false" outlineLevel="0" collapsed="false">
      <c r="A244" s="8" t="s">
        <v>1010</v>
      </c>
      <c r="B244" s="8" t="s">
        <v>41</v>
      </c>
      <c r="C244" s="8" t="s">
        <v>1011</v>
      </c>
      <c r="D244" s="8" t="s">
        <v>1012</v>
      </c>
      <c r="E244" s="8" t="s">
        <v>1013</v>
      </c>
      <c r="F244" s="8" t="s">
        <v>435</v>
      </c>
      <c r="G244" s="8" t="n">
        <v>13</v>
      </c>
      <c r="H244" s="13" t="n">
        <v>46344</v>
      </c>
      <c r="I244" s="8"/>
      <c r="J244" s="14"/>
      <c r="K244" s="15"/>
      <c r="L244" s="14"/>
      <c r="M244" s="14"/>
      <c r="N244" s="14"/>
    </row>
    <row r="245" customFormat="false" ht="35.05" hidden="false" customHeight="false" outlineLevel="0" collapsed="false">
      <c r="A245" s="8" t="s">
        <v>1014</v>
      </c>
      <c r="B245" s="8" t="s">
        <v>41</v>
      </c>
      <c r="C245" s="8" t="s">
        <v>1015</v>
      </c>
      <c r="D245" s="8" t="s">
        <v>1016</v>
      </c>
      <c r="E245" s="8" t="s">
        <v>1017</v>
      </c>
      <c r="F245" s="8" t="s">
        <v>912</v>
      </c>
      <c r="G245" s="8" t="n">
        <v>13</v>
      </c>
      <c r="H245" s="13" t="n">
        <v>46344</v>
      </c>
      <c r="I245" s="8"/>
      <c r="J245" s="14"/>
      <c r="K245" s="15"/>
      <c r="L245" s="14"/>
      <c r="M245" s="14"/>
      <c r="N245" s="14"/>
    </row>
    <row r="246" customFormat="false" ht="35.05" hidden="false" customHeight="false" outlineLevel="0" collapsed="false">
      <c r="A246" s="8" t="s">
        <v>1018</v>
      </c>
      <c r="B246" s="8" t="s">
        <v>41</v>
      </c>
      <c r="C246" s="8" t="s">
        <v>1019</v>
      </c>
      <c r="D246" s="8" t="s">
        <v>1020</v>
      </c>
      <c r="E246" s="8" t="s">
        <v>1021</v>
      </c>
      <c r="F246" s="8" t="s">
        <v>121</v>
      </c>
      <c r="G246" s="8" t="n">
        <v>13</v>
      </c>
      <c r="H246" s="13" t="n">
        <v>46344</v>
      </c>
      <c r="I246" s="8" t="s">
        <v>23</v>
      </c>
      <c r="J246" s="14"/>
      <c r="K246" s="15"/>
      <c r="L246" s="14"/>
      <c r="M246" s="14"/>
      <c r="N246" s="14"/>
    </row>
    <row r="247" customFormat="false" ht="35.05" hidden="false" customHeight="false" outlineLevel="0" collapsed="false">
      <c r="A247" s="8" t="s">
        <v>1022</v>
      </c>
      <c r="B247" s="8" t="s">
        <v>41</v>
      </c>
      <c r="C247" s="8" t="s">
        <v>1023</v>
      </c>
      <c r="D247" s="8" t="s">
        <v>1024</v>
      </c>
      <c r="E247" s="8" t="s">
        <v>1025</v>
      </c>
      <c r="F247" s="8" t="s">
        <v>121</v>
      </c>
      <c r="G247" s="8" t="n">
        <v>13</v>
      </c>
      <c r="H247" s="13" t="n">
        <v>46344</v>
      </c>
      <c r="I247" s="8"/>
      <c r="J247" s="14"/>
      <c r="K247" s="15"/>
      <c r="L247" s="14"/>
      <c r="M247" s="14"/>
      <c r="N247" s="14"/>
    </row>
    <row r="248" customFormat="false" ht="35.05" hidden="false" customHeight="false" outlineLevel="0" collapsed="false">
      <c r="A248" s="8" t="s">
        <v>1026</v>
      </c>
      <c r="B248" s="8" t="s">
        <v>41</v>
      </c>
      <c r="C248" s="8" t="s">
        <v>1027</v>
      </c>
      <c r="D248" s="8" t="s">
        <v>1028</v>
      </c>
      <c r="E248" s="8" t="s">
        <v>1029</v>
      </c>
      <c r="F248" s="8" t="s">
        <v>121</v>
      </c>
      <c r="G248" s="8" t="n">
        <v>13</v>
      </c>
      <c r="H248" s="13" t="n">
        <v>46344</v>
      </c>
      <c r="I248" s="8"/>
      <c r="J248" s="14"/>
      <c r="K248" s="15"/>
      <c r="L248" s="14"/>
      <c r="M248" s="14"/>
      <c r="N248" s="14"/>
    </row>
    <row r="249" customFormat="false" ht="35.05" hidden="false" customHeight="false" outlineLevel="0" collapsed="false">
      <c r="A249" s="8" t="s">
        <v>1030</v>
      </c>
      <c r="B249" s="8" t="s">
        <v>41</v>
      </c>
      <c r="C249" s="8" t="s">
        <v>1031</v>
      </c>
      <c r="D249" s="8" t="s">
        <v>1032</v>
      </c>
      <c r="E249" s="8" t="s">
        <v>1033</v>
      </c>
      <c r="F249" s="8" t="s">
        <v>121</v>
      </c>
      <c r="G249" s="8" t="n">
        <v>13</v>
      </c>
      <c r="H249" s="13" t="n">
        <v>46344</v>
      </c>
      <c r="I249" s="8"/>
      <c r="J249" s="14"/>
      <c r="K249" s="15"/>
      <c r="L249" s="14"/>
      <c r="M249" s="14"/>
      <c r="N249" s="14"/>
    </row>
    <row r="250" customFormat="false" ht="35.05" hidden="false" customHeight="false" outlineLevel="0" collapsed="false">
      <c r="A250" s="8" t="s">
        <v>1034</v>
      </c>
      <c r="B250" s="8" t="s">
        <v>41</v>
      </c>
      <c r="C250" s="8" t="s">
        <v>1035</v>
      </c>
      <c r="D250" s="8" t="s">
        <v>1036</v>
      </c>
      <c r="E250" s="8" t="s">
        <v>1037</v>
      </c>
      <c r="F250" s="8" t="s">
        <v>121</v>
      </c>
      <c r="G250" s="8" t="n">
        <v>13</v>
      </c>
      <c r="H250" s="13" t="n">
        <v>46344</v>
      </c>
      <c r="I250" s="8"/>
      <c r="J250" s="14"/>
      <c r="K250" s="15"/>
      <c r="L250" s="14"/>
      <c r="M250" s="14"/>
      <c r="N250" s="14"/>
    </row>
    <row r="251" customFormat="false" ht="35.05" hidden="false" customHeight="false" outlineLevel="0" collapsed="false">
      <c r="A251" s="8" t="s">
        <v>1038</v>
      </c>
      <c r="B251" s="8" t="s">
        <v>41</v>
      </c>
      <c r="C251" s="8" t="s">
        <v>1039</v>
      </c>
      <c r="D251" s="8" t="s">
        <v>1040</v>
      </c>
      <c r="E251" s="8" t="s">
        <v>1041</v>
      </c>
      <c r="F251" s="8" t="s">
        <v>121</v>
      </c>
      <c r="G251" s="8" t="n">
        <v>13</v>
      </c>
      <c r="H251" s="13" t="n">
        <v>46344</v>
      </c>
      <c r="I251" s="8"/>
      <c r="J251" s="14"/>
      <c r="K251" s="15"/>
      <c r="L251" s="14"/>
      <c r="M251" s="14"/>
      <c r="N251" s="14"/>
    </row>
    <row r="252" customFormat="false" ht="35.05" hidden="false" customHeight="false" outlineLevel="0" collapsed="false">
      <c r="A252" s="8" t="s">
        <v>1042</v>
      </c>
      <c r="B252" s="8" t="s">
        <v>41</v>
      </c>
      <c r="C252" s="8" t="s">
        <v>1043</v>
      </c>
      <c r="D252" s="8" t="s">
        <v>1044</v>
      </c>
      <c r="E252" s="8" t="s">
        <v>1045</v>
      </c>
      <c r="F252" s="8" t="s">
        <v>121</v>
      </c>
      <c r="G252" s="8" t="n">
        <v>13</v>
      </c>
      <c r="H252" s="13" t="n">
        <v>46344</v>
      </c>
      <c r="I252" s="8"/>
      <c r="J252" s="14"/>
      <c r="K252" s="15"/>
      <c r="L252" s="14"/>
      <c r="M252" s="14"/>
      <c r="N252" s="14"/>
    </row>
    <row r="253" customFormat="false" ht="35.05" hidden="false" customHeight="false" outlineLevel="0" collapsed="false">
      <c r="A253" s="8" t="s">
        <v>1046</v>
      </c>
      <c r="B253" s="8" t="s">
        <v>41</v>
      </c>
      <c r="C253" s="8" t="s">
        <v>1047</v>
      </c>
      <c r="D253" s="8" t="s">
        <v>1048</v>
      </c>
      <c r="E253" s="8" t="s">
        <v>1049</v>
      </c>
      <c r="F253" s="8" t="s">
        <v>121</v>
      </c>
      <c r="G253" s="8" t="n">
        <v>13</v>
      </c>
      <c r="H253" s="13" t="n">
        <v>46344</v>
      </c>
      <c r="I253" s="8"/>
      <c r="J253" s="14"/>
      <c r="K253" s="15"/>
      <c r="L253" s="14"/>
      <c r="M253" s="14"/>
      <c r="N253" s="14"/>
    </row>
    <row r="254" customFormat="false" ht="35.05" hidden="false" customHeight="false" outlineLevel="0" collapsed="false">
      <c r="A254" s="8" t="s">
        <v>1050</v>
      </c>
      <c r="B254" s="8" t="s">
        <v>41</v>
      </c>
      <c r="C254" s="8" t="s">
        <v>1051</v>
      </c>
      <c r="D254" s="8" t="s">
        <v>1052</v>
      </c>
      <c r="E254" s="8" t="s">
        <v>1053</v>
      </c>
      <c r="F254" s="8" t="s">
        <v>435</v>
      </c>
      <c r="G254" s="8" t="n">
        <v>13</v>
      </c>
      <c r="H254" s="13" t="n">
        <v>46344</v>
      </c>
      <c r="I254" s="8"/>
      <c r="J254" s="14"/>
      <c r="K254" s="15"/>
      <c r="L254" s="14"/>
      <c r="M254" s="14"/>
      <c r="N254" s="14"/>
    </row>
    <row r="255" customFormat="false" ht="35.05" hidden="false" customHeight="false" outlineLevel="0" collapsed="false">
      <c r="A255" s="8" t="s">
        <v>1054</v>
      </c>
      <c r="B255" s="8" t="s">
        <v>41</v>
      </c>
      <c r="C255" s="8" t="s">
        <v>1055</v>
      </c>
      <c r="D255" s="8" t="s">
        <v>1056</v>
      </c>
      <c r="E255" s="8" t="s">
        <v>1057</v>
      </c>
      <c r="F255" s="8" t="s">
        <v>121</v>
      </c>
      <c r="G255" s="8" t="n">
        <v>13</v>
      </c>
      <c r="H255" s="13" t="n">
        <v>46344</v>
      </c>
      <c r="I255" s="8"/>
      <c r="J255" s="14"/>
      <c r="K255" s="15"/>
      <c r="L255" s="14"/>
      <c r="M255" s="14"/>
      <c r="N255" s="14"/>
    </row>
    <row r="256" customFormat="false" ht="35.05" hidden="false" customHeight="false" outlineLevel="0" collapsed="false">
      <c r="A256" s="8" t="s">
        <v>1058</v>
      </c>
      <c r="B256" s="8" t="s">
        <v>41</v>
      </c>
      <c r="C256" s="8" t="s">
        <v>1059</v>
      </c>
      <c r="D256" s="8" t="s">
        <v>1060</v>
      </c>
      <c r="E256" s="8" t="s">
        <v>793</v>
      </c>
      <c r="F256" s="8" t="s">
        <v>455</v>
      </c>
      <c r="G256" s="8" t="n">
        <v>13</v>
      </c>
      <c r="H256" s="13" t="n">
        <v>46344</v>
      </c>
      <c r="I256" s="8"/>
      <c r="J256" s="14"/>
      <c r="K256" s="15"/>
      <c r="L256" s="14"/>
      <c r="M256" s="14"/>
      <c r="N256" s="14"/>
    </row>
    <row r="257" customFormat="false" ht="35.05" hidden="false" customHeight="false" outlineLevel="0" collapsed="false">
      <c r="A257" s="8" t="s">
        <v>1061</v>
      </c>
      <c r="B257" s="8" t="s">
        <v>41</v>
      </c>
      <c r="C257" s="8" t="s">
        <v>1062</v>
      </c>
      <c r="D257" s="8" t="s">
        <v>1063</v>
      </c>
      <c r="E257" s="8" t="s">
        <v>1064</v>
      </c>
      <c r="F257" s="8" t="s">
        <v>121</v>
      </c>
      <c r="G257" s="8" t="n">
        <v>14</v>
      </c>
      <c r="H257" s="13" t="n">
        <v>46345</v>
      </c>
      <c r="I257" s="8"/>
      <c r="J257" s="14"/>
      <c r="K257" s="15"/>
      <c r="L257" s="14"/>
      <c r="M257" s="14"/>
      <c r="N257" s="14"/>
    </row>
    <row r="258" customFormat="false" ht="35.05" hidden="false" customHeight="false" outlineLevel="0" collapsed="false">
      <c r="A258" s="8" t="s">
        <v>1065</v>
      </c>
      <c r="B258" s="8" t="s">
        <v>41</v>
      </c>
      <c r="C258" s="8" t="s">
        <v>1066</v>
      </c>
      <c r="D258" s="8" t="s">
        <v>1067</v>
      </c>
      <c r="E258" s="8" t="s">
        <v>1068</v>
      </c>
      <c r="F258" s="8" t="s">
        <v>1069</v>
      </c>
      <c r="G258" s="8" t="n">
        <v>14</v>
      </c>
      <c r="H258" s="13" t="n">
        <v>46345</v>
      </c>
      <c r="I258" s="8" t="s">
        <v>23</v>
      </c>
      <c r="J258" s="14"/>
      <c r="K258" s="15"/>
      <c r="L258" s="14"/>
      <c r="M258" s="14"/>
      <c r="N258" s="14"/>
    </row>
    <row r="259" customFormat="false" ht="35.05" hidden="false" customHeight="false" outlineLevel="0" collapsed="false">
      <c r="A259" s="8" t="s">
        <v>1070</v>
      </c>
      <c r="B259" s="8" t="s">
        <v>41</v>
      </c>
      <c r="C259" s="8" t="s">
        <v>1071</v>
      </c>
      <c r="D259" s="8" t="s">
        <v>1072</v>
      </c>
      <c r="E259" s="8" t="s">
        <v>1073</v>
      </c>
      <c r="F259" s="8" t="s">
        <v>1074</v>
      </c>
      <c r="G259" s="8" t="n">
        <v>14</v>
      </c>
      <c r="H259" s="13" t="n">
        <v>46345</v>
      </c>
      <c r="I259" s="8"/>
      <c r="J259" s="14"/>
      <c r="K259" s="15"/>
      <c r="L259" s="14"/>
      <c r="M259" s="14"/>
      <c r="N259" s="14"/>
    </row>
    <row r="260" customFormat="false" ht="35.05" hidden="false" customHeight="false" outlineLevel="0" collapsed="false">
      <c r="A260" s="8" t="s">
        <v>1075</v>
      </c>
      <c r="B260" s="8" t="s">
        <v>41</v>
      </c>
      <c r="C260" s="8" t="s">
        <v>1076</v>
      </c>
      <c r="D260" s="8" t="s">
        <v>1077</v>
      </c>
      <c r="E260" s="8" t="s">
        <v>1078</v>
      </c>
      <c r="F260" s="8"/>
      <c r="G260" s="8" t="n">
        <v>14</v>
      </c>
      <c r="H260" s="13" t="n">
        <v>46345</v>
      </c>
      <c r="I260" s="8"/>
      <c r="J260" s="14"/>
      <c r="K260" s="15"/>
      <c r="L260" s="14"/>
      <c r="M260" s="14"/>
      <c r="N260" s="14"/>
    </row>
    <row r="261" customFormat="false" ht="35.05" hidden="false" customHeight="false" outlineLevel="0" collapsed="false">
      <c r="A261" s="8" t="s">
        <v>1079</v>
      </c>
      <c r="B261" s="8" t="s">
        <v>41</v>
      </c>
      <c r="C261" s="8" t="s">
        <v>1080</v>
      </c>
      <c r="D261" s="8" t="s">
        <v>1081</v>
      </c>
      <c r="E261" s="8" t="s">
        <v>1082</v>
      </c>
      <c r="F261" s="8" t="s">
        <v>1083</v>
      </c>
      <c r="G261" s="8" t="n">
        <v>14</v>
      </c>
      <c r="H261" s="13" t="n">
        <v>46345</v>
      </c>
      <c r="I261" s="8"/>
      <c r="J261" s="14"/>
      <c r="K261" s="15"/>
      <c r="L261" s="14"/>
      <c r="M261" s="14"/>
      <c r="N261" s="14"/>
    </row>
    <row r="262" customFormat="false" ht="35.05" hidden="false" customHeight="false" outlineLevel="0" collapsed="false">
      <c r="A262" s="8" t="s">
        <v>1084</v>
      </c>
      <c r="B262" s="8" t="s">
        <v>41</v>
      </c>
      <c r="C262" s="8" t="s">
        <v>1085</v>
      </c>
      <c r="D262" s="8" t="s">
        <v>1086</v>
      </c>
      <c r="E262" s="8" t="s">
        <v>1087</v>
      </c>
      <c r="F262" s="8" t="s">
        <v>1088</v>
      </c>
      <c r="G262" s="8" t="n">
        <v>14</v>
      </c>
      <c r="H262" s="13" t="n">
        <v>46345</v>
      </c>
      <c r="I262" s="8"/>
      <c r="J262" s="14"/>
      <c r="K262" s="15"/>
      <c r="L262" s="14"/>
      <c r="M262" s="14"/>
      <c r="N262" s="14"/>
    </row>
    <row r="263" customFormat="false" ht="35.05" hidden="false" customHeight="false" outlineLevel="0" collapsed="false">
      <c r="A263" s="8" t="s">
        <v>1089</v>
      </c>
      <c r="B263" s="8" t="s">
        <v>41</v>
      </c>
      <c r="C263" s="8" t="s">
        <v>1090</v>
      </c>
      <c r="D263" s="8" t="s">
        <v>1091</v>
      </c>
      <c r="E263" s="8" t="s">
        <v>1092</v>
      </c>
      <c r="F263" s="8" t="s">
        <v>1074</v>
      </c>
      <c r="G263" s="8" t="n">
        <v>14</v>
      </c>
      <c r="H263" s="13" t="n">
        <v>46345</v>
      </c>
      <c r="I263" s="8"/>
      <c r="J263" s="14"/>
      <c r="K263" s="15"/>
      <c r="L263" s="14"/>
      <c r="M263" s="14"/>
      <c r="N263" s="14"/>
    </row>
    <row r="264" customFormat="false" ht="35.05" hidden="false" customHeight="false" outlineLevel="0" collapsed="false">
      <c r="A264" s="8" t="s">
        <v>1093</v>
      </c>
      <c r="B264" s="8" t="s">
        <v>41</v>
      </c>
      <c r="C264" s="8" t="s">
        <v>1094</v>
      </c>
      <c r="D264" s="8" t="s">
        <v>1095</v>
      </c>
      <c r="E264" s="8" t="s">
        <v>1096</v>
      </c>
      <c r="F264" s="8" t="s">
        <v>1074</v>
      </c>
      <c r="G264" s="8" t="n">
        <v>14</v>
      </c>
      <c r="H264" s="13" t="n">
        <v>46345</v>
      </c>
      <c r="I264" s="8"/>
      <c r="J264" s="14"/>
      <c r="K264" s="15"/>
      <c r="L264" s="14"/>
      <c r="M264" s="14"/>
      <c r="N264" s="14"/>
    </row>
    <row r="265" customFormat="false" ht="57.45" hidden="false" customHeight="false" outlineLevel="0" collapsed="false">
      <c r="A265" s="8" t="s">
        <v>1097</v>
      </c>
      <c r="B265" s="8" t="s">
        <v>41</v>
      </c>
      <c r="C265" s="8" t="s">
        <v>1098</v>
      </c>
      <c r="D265" s="8" t="s">
        <v>1099</v>
      </c>
      <c r="E265" s="8" t="s">
        <v>1100</v>
      </c>
      <c r="F265" s="8" t="s">
        <v>1101</v>
      </c>
      <c r="G265" s="8" t="n">
        <v>14</v>
      </c>
      <c r="H265" s="13" t="n">
        <v>46345</v>
      </c>
      <c r="I265" s="8" t="s">
        <v>23</v>
      </c>
      <c r="J265" s="14"/>
      <c r="K265" s="15"/>
      <c r="L265" s="14"/>
      <c r="M265" s="14"/>
      <c r="N265" s="14"/>
    </row>
    <row r="266" customFormat="false" ht="35.05" hidden="false" customHeight="false" outlineLevel="0" collapsed="false">
      <c r="A266" s="8" t="s">
        <v>1102</v>
      </c>
      <c r="B266" s="8" t="s">
        <v>41</v>
      </c>
      <c r="C266" s="8" t="s">
        <v>1103</v>
      </c>
      <c r="D266" s="8" t="s">
        <v>1104</v>
      </c>
      <c r="E266" s="8" t="s">
        <v>1105</v>
      </c>
      <c r="F266" s="8" t="s">
        <v>455</v>
      </c>
      <c r="G266" s="8" t="n">
        <v>14</v>
      </c>
      <c r="H266" s="13" t="n">
        <v>46345</v>
      </c>
      <c r="I266" s="8"/>
      <c r="J266" s="14"/>
      <c r="K266" s="15"/>
      <c r="L266" s="14"/>
      <c r="M266" s="14"/>
      <c r="N266" s="14"/>
    </row>
    <row r="267" customFormat="false" ht="35.05" hidden="false" customHeight="false" outlineLevel="0" collapsed="false">
      <c r="A267" s="8" t="s">
        <v>1106</v>
      </c>
      <c r="B267" s="8" t="s">
        <v>41</v>
      </c>
      <c r="C267" s="8" t="s">
        <v>1107</v>
      </c>
      <c r="D267" s="8" t="s">
        <v>1108</v>
      </c>
      <c r="E267" s="8" t="s">
        <v>1109</v>
      </c>
      <c r="F267" s="8" t="s">
        <v>1110</v>
      </c>
      <c r="G267" s="8" t="n">
        <v>14</v>
      </c>
      <c r="H267" s="13" t="n">
        <v>46345</v>
      </c>
      <c r="I267" s="8"/>
      <c r="J267" s="14"/>
      <c r="K267" s="15"/>
      <c r="L267" s="14"/>
      <c r="M267" s="14"/>
      <c r="N267" s="14"/>
    </row>
    <row r="268" customFormat="false" ht="35.05" hidden="false" customHeight="false" outlineLevel="0" collapsed="false">
      <c r="A268" s="8" t="s">
        <v>1111</v>
      </c>
      <c r="B268" s="8" t="s">
        <v>41</v>
      </c>
      <c r="C268" s="8" t="s">
        <v>1112</v>
      </c>
      <c r="D268" s="8" t="s">
        <v>1113</v>
      </c>
      <c r="E268" s="8" t="s">
        <v>1114</v>
      </c>
      <c r="F268" s="8" t="s">
        <v>1115</v>
      </c>
      <c r="G268" s="8" t="n">
        <v>14</v>
      </c>
      <c r="H268" s="13" t="n">
        <v>46345</v>
      </c>
      <c r="I268" s="8"/>
      <c r="J268" s="14"/>
      <c r="K268" s="15"/>
      <c r="L268" s="14"/>
      <c r="M268" s="14"/>
      <c r="N268" s="14"/>
    </row>
    <row r="269" customFormat="false" ht="35.05" hidden="false" customHeight="false" outlineLevel="0" collapsed="false">
      <c r="A269" s="8" t="s">
        <v>1116</v>
      </c>
      <c r="B269" s="8" t="s">
        <v>41</v>
      </c>
      <c r="C269" s="8" t="s">
        <v>1117</v>
      </c>
      <c r="D269" s="8" t="s">
        <v>1118</v>
      </c>
      <c r="E269" s="8" t="s">
        <v>1119</v>
      </c>
      <c r="F269" s="8" t="s">
        <v>240</v>
      </c>
      <c r="G269" s="8" t="n">
        <v>14</v>
      </c>
      <c r="H269" s="13" t="n">
        <v>46345</v>
      </c>
      <c r="I269" s="8"/>
      <c r="J269" s="14"/>
      <c r="K269" s="15"/>
      <c r="L269" s="14"/>
      <c r="M269" s="14"/>
      <c r="N269" s="14"/>
    </row>
    <row r="270" customFormat="false" ht="35.05" hidden="false" customHeight="false" outlineLevel="0" collapsed="false">
      <c r="A270" s="8" t="s">
        <v>1120</v>
      </c>
      <c r="B270" s="8" t="s">
        <v>41</v>
      </c>
      <c r="C270" s="8" t="s">
        <v>1121</v>
      </c>
      <c r="D270" s="8" t="s">
        <v>1122</v>
      </c>
      <c r="E270" s="8" t="s">
        <v>1123</v>
      </c>
      <c r="F270" s="8" t="s">
        <v>435</v>
      </c>
      <c r="G270" s="8" t="n">
        <v>14</v>
      </c>
      <c r="H270" s="13" t="n">
        <v>46345</v>
      </c>
      <c r="I270" s="8"/>
      <c r="J270" s="14"/>
      <c r="K270" s="15"/>
      <c r="L270" s="14"/>
      <c r="M270" s="14"/>
      <c r="N270" s="14"/>
    </row>
    <row r="271" customFormat="false" ht="23.85" hidden="false" customHeight="false" outlineLevel="0" collapsed="false">
      <c r="A271" s="8" t="s">
        <v>1124</v>
      </c>
      <c r="B271" s="8" t="s">
        <v>42</v>
      </c>
      <c r="C271" s="8" t="s">
        <v>1125</v>
      </c>
      <c r="D271" s="8" t="s">
        <v>1126</v>
      </c>
      <c r="E271" s="8" t="s">
        <v>1127</v>
      </c>
      <c r="F271" s="8"/>
      <c r="G271" s="8" t="n">
        <v>16</v>
      </c>
      <c r="H271" s="13" t="n">
        <v>46349</v>
      </c>
      <c r="I271" s="8"/>
      <c r="J271" s="14"/>
      <c r="K271" s="15"/>
      <c r="L271" s="14"/>
      <c r="M271" s="14"/>
      <c r="N271" s="14"/>
    </row>
    <row r="272" customFormat="false" ht="35.05" hidden="false" customHeight="false" outlineLevel="0" collapsed="false">
      <c r="A272" s="8" t="s">
        <v>1128</v>
      </c>
      <c r="B272" s="8" t="s">
        <v>42</v>
      </c>
      <c r="C272" s="8" t="s">
        <v>1129</v>
      </c>
      <c r="D272" s="8" t="s">
        <v>1130</v>
      </c>
      <c r="E272" s="8" t="s">
        <v>1131</v>
      </c>
      <c r="F272" s="8"/>
      <c r="G272" s="8" t="n">
        <v>16</v>
      </c>
      <c r="H272" s="13" t="n">
        <v>46349</v>
      </c>
      <c r="I272" s="8"/>
      <c r="J272" s="14"/>
      <c r="K272" s="15"/>
      <c r="L272" s="14"/>
      <c r="M272" s="14"/>
      <c r="N272" s="14"/>
    </row>
    <row r="273" customFormat="false" ht="23.85" hidden="false" customHeight="false" outlineLevel="0" collapsed="false">
      <c r="A273" s="8" t="s">
        <v>1132</v>
      </c>
      <c r="B273" s="8" t="s">
        <v>42</v>
      </c>
      <c r="C273" s="8" t="s">
        <v>1133</v>
      </c>
      <c r="D273" s="8" t="s">
        <v>1134</v>
      </c>
      <c r="E273" s="8" t="s">
        <v>1135</v>
      </c>
      <c r="F273" s="8" t="s">
        <v>1136</v>
      </c>
      <c r="G273" s="8" t="n">
        <v>16</v>
      </c>
      <c r="H273" s="13" t="n">
        <v>46349</v>
      </c>
      <c r="I273" s="8"/>
      <c r="J273" s="14"/>
      <c r="K273" s="15"/>
      <c r="L273" s="14"/>
      <c r="M273" s="14"/>
      <c r="N273" s="14"/>
    </row>
    <row r="274" customFormat="false" ht="46.25" hidden="false" customHeight="false" outlineLevel="0" collapsed="false">
      <c r="A274" s="8" t="s">
        <v>1137</v>
      </c>
      <c r="B274" s="8" t="s">
        <v>42</v>
      </c>
      <c r="C274" s="8" t="s">
        <v>1138</v>
      </c>
      <c r="D274" s="8" t="s">
        <v>1139</v>
      </c>
      <c r="E274" s="8" t="s">
        <v>1140</v>
      </c>
      <c r="F274" s="8" t="s">
        <v>1141</v>
      </c>
      <c r="G274" s="8" t="n">
        <v>16</v>
      </c>
      <c r="H274" s="13" t="n">
        <v>46349</v>
      </c>
      <c r="I274" s="8"/>
      <c r="J274" s="14"/>
      <c r="K274" s="15"/>
      <c r="L274" s="14"/>
      <c r="M274" s="14"/>
      <c r="N274" s="14"/>
    </row>
    <row r="275" customFormat="false" ht="35.05" hidden="false" customHeight="false" outlineLevel="0" collapsed="false">
      <c r="A275" s="8" t="s">
        <v>1142</v>
      </c>
      <c r="B275" s="8" t="s">
        <v>42</v>
      </c>
      <c r="C275" s="8" t="s">
        <v>1143</v>
      </c>
      <c r="D275" s="8" t="s">
        <v>1144</v>
      </c>
      <c r="E275" s="8" t="s">
        <v>1145</v>
      </c>
      <c r="F275" s="8" t="s">
        <v>1146</v>
      </c>
      <c r="G275" s="8" t="n">
        <v>16</v>
      </c>
      <c r="H275" s="13" t="n">
        <v>46349</v>
      </c>
      <c r="I275" s="8"/>
      <c r="J275" s="14"/>
      <c r="K275" s="15"/>
      <c r="L275" s="14"/>
      <c r="M275" s="14"/>
      <c r="N275" s="14"/>
    </row>
    <row r="276" customFormat="false" ht="35.05" hidden="false" customHeight="false" outlineLevel="0" collapsed="false">
      <c r="A276" s="8" t="s">
        <v>1147</v>
      </c>
      <c r="B276" s="8" t="s">
        <v>42</v>
      </c>
      <c r="C276" s="8" t="s">
        <v>1148</v>
      </c>
      <c r="D276" s="8" t="s">
        <v>1149</v>
      </c>
      <c r="E276" s="8" t="s">
        <v>1150</v>
      </c>
      <c r="F276" s="8" t="s">
        <v>1151</v>
      </c>
      <c r="G276" s="8" t="n">
        <v>16</v>
      </c>
      <c r="H276" s="13" t="n">
        <v>46349</v>
      </c>
      <c r="I276" s="8" t="s">
        <v>23</v>
      </c>
      <c r="J276" s="14"/>
      <c r="K276" s="15"/>
      <c r="L276" s="14"/>
      <c r="M276" s="14"/>
      <c r="N276" s="14"/>
    </row>
    <row r="277" customFormat="false" ht="23.85" hidden="false" customHeight="false" outlineLevel="0" collapsed="false">
      <c r="A277" s="8" t="s">
        <v>1152</v>
      </c>
      <c r="B277" s="8" t="s">
        <v>42</v>
      </c>
      <c r="C277" s="8" t="s">
        <v>1148</v>
      </c>
      <c r="D277" s="8" t="s">
        <v>1153</v>
      </c>
      <c r="E277" s="8" t="s">
        <v>1154</v>
      </c>
      <c r="F277" s="8" t="s">
        <v>1136</v>
      </c>
      <c r="G277" s="8" t="n">
        <v>16</v>
      </c>
      <c r="H277" s="13" t="n">
        <v>46349</v>
      </c>
      <c r="I277" s="8"/>
      <c r="J277" s="14"/>
      <c r="K277" s="15"/>
      <c r="L277" s="14"/>
      <c r="M277" s="14"/>
      <c r="N277" s="14"/>
    </row>
    <row r="278" customFormat="false" ht="35.05" hidden="false" customHeight="false" outlineLevel="0" collapsed="false">
      <c r="A278" s="8" t="s">
        <v>1155</v>
      </c>
      <c r="B278" s="8" t="s">
        <v>42</v>
      </c>
      <c r="C278" s="8" t="s">
        <v>227</v>
      </c>
      <c r="D278" s="8" t="s">
        <v>1156</v>
      </c>
      <c r="E278" s="8" t="s">
        <v>1157</v>
      </c>
      <c r="F278" s="8" t="s">
        <v>211</v>
      </c>
      <c r="G278" s="8" t="n">
        <v>16</v>
      </c>
      <c r="H278" s="13" t="n">
        <v>46349</v>
      </c>
      <c r="I278" s="8"/>
      <c r="J278" s="14"/>
      <c r="K278" s="15"/>
      <c r="L278" s="14"/>
      <c r="M278" s="14"/>
      <c r="N278" s="14"/>
    </row>
    <row r="279" customFormat="false" ht="23.85" hidden="false" customHeight="false" outlineLevel="0" collapsed="false">
      <c r="A279" s="8" t="s">
        <v>1158</v>
      </c>
      <c r="B279" s="8" t="s">
        <v>42</v>
      </c>
      <c r="C279" s="8" t="s">
        <v>1159</v>
      </c>
      <c r="D279" s="8" t="s">
        <v>1160</v>
      </c>
      <c r="E279" s="8" t="s">
        <v>1161</v>
      </c>
      <c r="F279" s="8"/>
      <c r="G279" s="8" t="n">
        <v>16</v>
      </c>
      <c r="H279" s="13" t="n">
        <v>46349</v>
      </c>
      <c r="I279" s="8"/>
      <c r="J279" s="14"/>
      <c r="K279" s="15"/>
      <c r="L279" s="14"/>
      <c r="M279" s="14"/>
      <c r="N279" s="14"/>
    </row>
    <row r="280" customFormat="false" ht="23.85" hidden="false" customHeight="false" outlineLevel="0" collapsed="false">
      <c r="A280" s="8" t="s">
        <v>1162</v>
      </c>
      <c r="B280" s="8" t="s">
        <v>42</v>
      </c>
      <c r="C280" s="8" t="s">
        <v>1163</v>
      </c>
      <c r="D280" s="8" t="s">
        <v>1164</v>
      </c>
      <c r="E280" s="8" t="s">
        <v>1165</v>
      </c>
      <c r="F280" s="8"/>
      <c r="G280" s="8" t="n">
        <v>16</v>
      </c>
      <c r="H280" s="13" t="n">
        <v>46349</v>
      </c>
      <c r="I280" s="8"/>
      <c r="J280" s="14"/>
      <c r="K280" s="15"/>
      <c r="L280" s="14"/>
      <c r="M280" s="14"/>
      <c r="N280" s="14"/>
    </row>
    <row r="281" customFormat="false" ht="23.85" hidden="false" customHeight="false" outlineLevel="0" collapsed="false">
      <c r="A281" s="8" t="s">
        <v>1166</v>
      </c>
      <c r="B281" s="8" t="s">
        <v>42</v>
      </c>
      <c r="C281" s="8" t="s">
        <v>1163</v>
      </c>
      <c r="D281" s="8" t="s">
        <v>1167</v>
      </c>
      <c r="E281" s="8" t="s">
        <v>1168</v>
      </c>
      <c r="F281" s="8"/>
      <c r="G281" s="8" t="n">
        <v>16</v>
      </c>
      <c r="H281" s="13" t="n">
        <v>46349</v>
      </c>
      <c r="I281" s="8"/>
      <c r="J281" s="14"/>
      <c r="K281" s="15"/>
      <c r="L281" s="14"/>
      <c r="M281" s="14"/>
      <c r="N281" s="14"/>
    </row>
    <row r="282" customFormat="false" ht="15" hidden="false" customHeight="false" outlineLevel="0" collapsed="false">
      <c r="A282" s="8" t="s">
        <v>1169</v>
      </c>
      <c r="B282" s="8" t="s">
        <v>42</v>
      </c>
      <c r="C282" s="8" t="s">
        <v>196</v>
      </c>
      <c r="D282" s="8" t="s">
        <v>1170</v>
      </c>
      <c r="E282" s="8" t="s">
        <v>1171</v>
      </c>
      <c r="F282" s="8"/>
      <c r="G282" s="8" t="n">
        <v>16</v>
      </c>
      <c r="H282" s="13" t="n">
        <v>46349</v>
      </c>
      <c r="I282" s="8"/>
      <c r="J282" s="14"/>
      <c r="K282" s="15"/>
      <c r="L282" s="14"/>
      <c r="M282" s="14"/>
      <c r="N282" s="14"/>
    </row>
    <row r="283" customFormat="false" ht="23.85" hidden="false" customHeight="false" outlineLevel="0" collapsed="false">
      <c r="A283" s="8" t="s">
        <v>1172</v>
      </c>
      <c r="B283" s="8" t="s">
        <v>42</v>
      </c>
      <c r="C283" s="8" t="s">
        <v>1173</v>
      </c>
      <c r="D283" s="8" t="s">
        <v>1174</v>
      </c>
      <c r="E283" s="8" t="s">
        <v>1175</v>
      </c>
      <c r="F283" s="8"/>
      <c r="G283" s="8" t="n">
        <v>16</v>
      </c>
      <c r="H283" s="13" t="n">
        <v>46349</v>
      </c>
      <c r="I283" s="8"/>
      <c r="J283" s="14"/>
      <c r="K283" s="15"/>
      <c r="L283" s="14"/>
      <c r="M283" s="14"/>
      <c r="N283" s="14"/>
    </row>
    <row r="284" customFormat="false" ht="23.85" hidden="false" customHeight="false" outlineLevel="0" collapsed="false">
      <c r="A284" s="8" t="s">
        <v>1176</v>
      </c>
      <c r="B284" s="8" t="s">
        <v>42</v>
      </c>
      <c r="C284" s="8" t="s">
        <v>1177</v>
      </c>
      <c r="D284" s="8" t="s">
        <v>1178</v>
      </c>
      <c r="E284" s="8" t="s">
        <v>1179</v>
      </c>
      <c r="F284" s="8"/>
      <c r="G284" s="8" t="n">
        <v>16</v>
      </c>
      <c r="H284" s="13" t="n">
        <v>46349</v>
      </c>
      <c r="I284" s="8" t="s">
        <v>23</v>
      </c>
      <c r="J284" s="14"/>
      <c r="K284" s="15"/>
      <c r="L284" s="14"/>
      <c r="M284" s="14"/>
      <c r="N284" s="14"/>
    </row>
    <row r="285" customFormat="false" ht="15" hidden="false" customHeight="false" outlineLevel="0" collapsed="false">
      <c r="A285" s="8" t="s">
        <v>1180</v>
      </c>
      <c r="B285" s="8" t="s">
        <v>42</v>
      </c>
      <c r="C285" s="8" t="s">
        <v>1177</v>
      </c>
      <c r="D285" s="8" t="s">
        <v>1181</v>
      </c>
      <c r="E285" s="8" t="s">
        <v>1182</v>
      </c>
      <c r="F285" s="8"/>
      <c r="G285" s="8" t="n">
        <v>16</v>
      </c>
      <c r="H285" s="13" t="n">
        <v>46349</v>
      </c>
      <c r="I285" s="8"/>
      <c r="J285" s="14"/>
      <c r="K285" s="15"/>
      <c r="L285" s="14"/>
      <c r="M285" s="14"/>
      <c r="N285" s="14"/>
    </row>
    <row r="286" customFormat="false" ht="23.85" hidden="false" customHeight="false" outlineLevel="0" collapsed="false">
      <c r="A286" s="8" t="s">
        <v>1183</v>
      </c>
      <c r="B286" s="8" t="s">
        <v>42</v>
      </c>
      <c r="C286" s="8" t="s">
        <v>1184</v>
      </c>
      <c r="D286" s="8" t="s">
        <v>1185</v>
      </c>
      <c r="E286" s="8" t="s">
        <v>1186</v>
      </c>
      <c r="F286" s="8"/>
      <c r="G286" s="8" t="n">
        <v>16</v>
      </c>
      <c r="H286" s="13" t="n">
        <v>46349</v>
      </c>
      <c r="I286" s="8"/>
      <c r="J286" s="14"/>
      <c r="K286" s="15"/>
      <c r="L286" s="14"/>
      <c r="M286" s="14"/>
      <c r="N286" s="14"/>
    </row>
    <row r="287" customFormat="false" ht="35.05" hidden="false" customHeight="false" outlineLevel="0" collapsed="false">
      <c r="A287" s="8" t="s">
        <v>1187</v>
      </c>
      <c r="B287" s="8" t="s">
        <v>42</v>
      </c>
      <c r="C287" s="8" t="s">
        <v>1188</v>
      </c>
      <c r="D287" s="8" t="s">
        <v>1189</v>
      </c>
      <c r="E287" s="8" t="s">
        <v>1190</v>
      </c>
      <c r="F287" s="8"/>
      <c r="G287" s="8" t="n">
        <v>16</v>
      </c>
      <c r="H287" s="13" t="n">
        <v>46349</v>
      </c>
      <c r="I287" s="8"/>
      <c r="J287" s="14"/>
      <c r="K287" s="15"/>
      <c r="L287" s="14"/>
      <c r="M287" s="14"/>
      <c r="N287" s="14"/>
    </row>
    <row r="288" customFormat="false" ht="35.05" hidden="false" customHeight="false" outlineLevel="0" collapsed="false">
      <c r="A288" s="8" t="s">
        <v>1191</v>
      </c>
      <c r="B288" s="8" t="s">
        <v>42</v>
      </c>
      <c r="C288" s="8" t="s">
        <v>1192</v>
      </c>
      <c r="D288" s="8" t="s">
        <v>1193</v>
      </c>
      <c r="E288" s="8" t="s">
        <v>1194</v>
      </c>
      <c r="F288" s="8" t="s">
        <v>327</v>
      </c>
      <c r="G288" s="8" t="n">
        <v>16</v>
      </c>
      <c r="H288" s="13" t="n">
        <v>46349</v>
      </c>
      <c r="I288" s="8" t="s">
        <v>23</v>
      </c>
      <c r="J288" s="14"/>
      <c r="K288" s="15"/>
      <c r="L288" s="14"/>
      <c r="M288" s="14"/>
      <c r="N288" s="14"/>
    </row>
    <row r="289" customFormat="false" ht="23.85" hidden="false" customHeight="false" outlineLevel="0" collapsed="false">
      <c r="A289" s="8" t="s">
        <v>1195</v>
      </c>
      <c r="B289" s="8" t="s">
        <v>42</v>
      </c>
      <c r="C289" s="8" t="s">
        <v>1196</v>
      </c>
      <c r="D289" s="8" t="s">
        <v>1197</v>
      </c>
      <c r="E289" s="8" t="s">
        <v>1198</v>
      </c>
      <c r="F289" s="8" t="s">
        <v>327</v>
      </c>
      <c r="G289" s="8" t="n">
        <v>16</v>
      </c>
      <c r="H289" s="13" t="n">
        <v>46349</v>
      </c>
      <c r="I289" s="8"/>
      <c r="J289" s="14"/>
      <c r="K289" s="15"/>
      <c r="L289" s="14"/>
      <c r="M289" s="14"/>
      <c r="N289" s="14"/>
    </row>
    <row r="290" customFormat="false" ht="23.85" hidden="false" customHeight="false" outlineLevel="0" collapsed="false">
      <c r="A290" s="8" t="s">
        <v>1199</v>
      </c>
      <c r="B290" s="8" t="s">
        <v>42</v>
      </c>
      <c r="C290" s="8" t="s">
        <v>1200</v>
      </c>
      <c r="D290" s="8" t="s">
        <v>1201</v>
      </c>
      <c r="E290" s="8" t="s">
        <v>1202</v>
      </c>
      <c r="F290" s="8" t="s">
        <v>327</v>
      </c>
      <c r="G290" s="8" t="n">
        <v>16</v>
      </c>
      <c r="H290" s="13" t="n">
        <v>46349</v>
      </c>
      <c r="I290" s="8"/>
      <c r="J290" s="14"/>
      <c r="K290" s="15"/>
      <c r="L290" s="14"/>
      <c r="M290" s="14"/>
      <c r="N290" s="14"/>
    </row>
    <row r="291" customFormat="false" ht="46.25" hidden="false" customHeight="false" outlineLevel="0" collapsed="false">
      <c r="A291" s="8" t="s">
        <v>1203</v>
      </c>
      <c r="B291" s="8" t="s">
        <v>42</v>
      </c>
      <c r="C291" s="8" t="s">
        <v>1204</v>
      </c>
      <c r="D291" s="8" t="s">
        <v>1205</v>
      </c>
      <c r="E291" s="8" t="s">
        <v>1206</v>
      </c>
      <c r="F291" s="8" t="s">
        <v>327</v>
      </c>
      <c r="G291" s="8" t="n">
        <v>16</v>
      </c>
      <c r="H291" s="13" t="n">
        <v>46349</v>
      </c>
      <c r="I291" s="8" t="s">
        <v>23</v>
      </c>
      <c r="J291" s="14"/>
      <c r="K291" s="15"/>
      <c r="L291" s="14"/>
      <c r="M291" s="14"/>
      <c r="N291" s="14"/>
    </row>
    <row r="292" customFormat="false" ht="23.85" hidden="false" customHeight="false" outlineLevel="0" collapsed="false">
      <c r="A292" s="8" t="s">
        <v>1207</v>
      </c>
      <c r="B292" s="8" t="s">
        <v>42</v>
      </c>
      <c r="C292" s="8" t="s">
        <v>1208</v>
      </c>
      <c r="D292" s="8" t="s">
        <v>1209</v>
      </c>
      <c r="E292" s="8" t="s">
        <v>1210</v>
      </c>
      <c r="F292" s="8" t="s">
        <v>327</v>
      </c>
      <c r="G292" s="8" t="n">
        <v>16</v>
      </c>
      <c r="H292" s="13" t="n">
        <v>46349</v>
      </c>
      <c r="I292" s="8"/>
      <c r="J292" s="14"/>
      <c r="K292" s="15"/>
      <c r="L292" s="14"/>
      <c r="M292" s="14"/>
      <c r="N292" s="14"/>
    </row>
    <row r="293" customFormat="false" ht="15" hidden="false" customHeight="false" outlineLevel="0" collapsed="false">
      <c r="A293" s="8" t="s">
        <v>1211</v>
      </c>
      <c r="B293" s="8" t="s">
        <v>42</v>
      </c>
      <c r="C293" s="8" t="s">
        <v>1212</v>
      </c>
      <c r="D293" s="8" t="s">
        <v>1213</v>
      </c>
      <c r="E293" s="8" t="s">
        <v>1214</v>
      </c>
      <c r="F293" s="8"/>
      <c r="G293" s="8" t="n">
        <v>16</v>
      </c>
      <c r="H293" s="13" t="n">
        <v>46349</v>
      </c>
      <c r="I293" s="8"/>
      <c r="J293" s="14"/>
      <c r="K293" s="15"/>
      <c r="L293" s="14"/>
      <c r="M293" s="14"/>
      <c r="N293" s="14"/>
    </row>
    <row r="294" customFormat="false" ht="15" hidden="false" customHeight="false" outlineLevel="0" collapsed="false">
      <c r="A294" s="8" t="s">
        <v>1215</v>
      </c>
      <c r="B294" s="8" t="s">
        <v>42</v>
      </c>
      <c r="C294" s="8" t="s">
        <v>1216</v>
      </c>
      <c r="D294" s="8" t="s">
        <v>1217</v>
      </c>
      <c r="E294" s="8" t="s">
        <v>502</v>
      </c>
      <c r="F294" s="8"/>
      <c r="G294" s="8" t="n">
        <v>16</v>
      </c>
      <c r="H294" s="13" t="n">
        <v>46349</v>
      </c>
      <c r="I294" s="8"/>
      <c r="J294" s="14"/>
      <c r="K294" s="15"/>
      <c r="L294" s="14"/>
      <c r="M294" s="14"/>
      <c r="N294" s="14"/>
    </row>
    <row r="295" customFormat="false" ht="23.85" hidden="false" customHeight="false" outlineLevel="0" collapsed="false">
      <c r="A295" s="8" t="s">
        <v>1218</v>
      </c>
      <c r="B295" s="8" t="s">
        <v>42</v>
      </c>
      <c r="C295" s="8" t="s">
        <v>1219</v>
      </c>
      <c r="D295" s="8" t="s">
        <v>1220</v>
      </c>
      <c r="E295" s="8" t="s">
        <v>1221</v>
      </c>
      <c r="F295" s="8"/>
      <c r="G295" s="8" t="n">
        <v>16</v>
      </c>
      <c r="H295" s="13" t="n">
        <v>46349</v>
      </c>
      <c r="I295" s="8"/>
      <c r="J295" s="14"/>
      <c r="K295" s="15"/>
      <c r="L295" s="14"/>
      <c r="M295" s="14"/>
      <c r="N295" s="14"/>
    </row>
    <row r="296" customFormat="false" ht="23.85" hidden="false" customHeight="false" outlineLevel="0" collapsed="false">
      <c r="A296" s="8" t="s">
        <v>1222</v>
      </c>
      <c r="B296" s="8" t="s">
        <v>42</v>
      </c>
      <c r="C296" s="8" t="s">
        <v>1223</v>
      </c>
      <c r="D296" s="8" t="s">
        <v>1224</v>
      </c>
      <c r="E296" s="8" t="s">
        <v>1225</v>
      </c>
      <c r="F296" s="8"/>
      <c r="G296" s="8" t="n">
        <v>19</v>
      </c>
      <c r="H296" s="13" t="n">
        <v>46352</v>
      </c>
      <c r="I296" s="8"/>
      <c r="J296" s="14"/>
      <c r="K296" s="15"/>
      <c r="L296" s="14"/>
      <c r="M296" s="14"/>
      <c r="N296" s="14"/>
    </row>
    <row r="297" customFormat="false" ht="23.85" hidden="false" customHeight="false" outlineLevel="0" collapsed="false">
      <c r="A297" s="8" t="s">
        <v>1226</v>
      </c>
      <c r="B297" s="8" t="s">
        <v>42</v>
      </c>
      <c r="C297" s="8" t="s">
        <v>1223</v>
      </c>
      <c r="D297" s="8" t="s">
        <v>1227</v>
      </c>
      <c r="E297" s="8" t="s">
        <v>1228</v>
      </c>
      <c r="F297" s="8"/>
      <c r="G297" s="8" t="n">
        <v>19</v>
      </c>
      <c r="H297" s="13" t="n">
        <v>46352</v>
      </c>
      <c r="I297" s="8"/>
      <c r="J297" s="14"/>
      <c r="K297" s="15"/>
      <c r="L297" s="14"/>
      <c r="M297" s="14"/>
      <c r="N297" s="14"/>
    </row>
    <row r="298" customFormat="false" ht="35.05" hidden="false" customHeight="false" outlineLevel="0" collapsed="false">
      <c r="A298" s="8" t="s">
        <v>1229</v>
      </c>
      <c r="B298" s="8" t="s">
        <v>42</v>
      </c>
      <c r="C298" s="8" t="s">
        <v>1230</v>
      </c>
      <c r="D298" s="8" t="s">
        <v>1231</v>
      </c>
      <c r="E298" s="8" t="s">
        <v>1232</v>
      </c>
      <c r="F298" s="8"/>
      <c r="G298" s="8" t="n">
        <v>17</v>
      </c>
      <c r="H298" s="13" t="n">
        <v>46350</v>
      </c>
      <c r="I298" s="8"/>
      <c r="J298" s="14"/>
      <c r="K298" s="15"/>
      <c r="L298" s="14"/>
      <c r="M298" s="14"/>
      <c r="N298" s="14"/>
    </row>
    <row r="299" customFormat="false" ht="23.85" hidden="false" customHeight="false" outlineLevel="0" collapsed="false">
      <c r="A299" s="8" t="s">
        <v>1233</v>
      </c>
      <c r="B299" s="8" t="s">
        <v>42</v>
      </c>
      <c r="C299" s="8" t="s">
        <v>1230</v>
      </c>
      <c r="D299" s="8" t="s">
        <v>1234</v>
      </c>
      <c r="E299" s="8" t="s">
        <v>1235</v>
      </c>
      <c r="F299" s="8"/>
      <c r="G299" s="8" t="n">
        <v>17</v>
      </c>
      <c r="H299" s="13" t="n">
        <v>46350</v>
      </c>
      <c r="I299" s="8"/>
      <c r="J299" s="14"/>
      <c r="K299" s="15"/>
      <c r="L299" s="14"/>
      <c r="M299" s="14"/>
      <c r="N299" s="14"/>
    </row>
    <row r="300" customFormat="false" ht="15" hidden="false" customHeight="false" outlineLevel="0" collapsed="false">
      <c r="A300" s="8" t="s">
        <v>1236</v>
      </c>
      <c r="B300" s="8" t="s">
        <v>42</v>
      </c>
      <c r="C300" s="8" t="s">
        <v>1237</v>
      </c>
      <c r="D300" s="8" t="s">
        <v>1238</v>
      </c>
      <c r="E300" s="8" t="s">
        <v>1239</v>
      </c>
      <c r="F300" s="8"/>
      <c r="G300" s="8" t="n">
        <v>17</v>
      </c>
      <c r="H300" s="13" t="n">
        <v>46350</v>
      </c>
      <c r="I300" s="8"/>
      <c r="J300" s="14"/>
      <c r="K300" s="15"/>
      <c r="L300" s="14"/>
      <c r="M300" s="14"/>
      <c r="N300" s="14"/>
    </row>
    <row r="301" customFormat="false" ht="23.85" hidden="false" customHeight="false" outlineLevel="0" collapsed="false">
      <c r="A301" s="8" t="s">
        <v>1240</v>
      </c>
      <c r="B301" s="8" t="s">
        <v>42</v>
      </c>
      <c r="C301" s="8" t="s">
        <v>1241</v>
      </c>
      <c r="D301" s="8" t="s">
        <v>1242</v>
      </c>
      <c r="E301" s="8" t="s">
        <v>1243</v>
      </c>
      <c r="F301" s="8"/>
      <c r="G301" s="8" t="n">
        <v>17</v>
      </c>
      <c r="H301" s="13" t="n">
        <v>46350</v>
      </c>
      <c r="I301" s="8"/>
      <c r="J301" s="14"/>
      <c r="K301" s="15"/>
      <c r="L301" s="14"/>
      <c r="M301" s="14"/>
      <c r="N301" s="14"/>
    </row>
    <row r="302" customFormat="false" ht="15" hidden="false" customHeight="false" outlineLevel="0" collapsed="false">
      <c r="A302" s="8" t="s">
        <v>1244</v>
      </c>
      <c r="B302" s="8" t="s">
        <v>42</v>
      </c>
      <c r="C302" s="8" t="s">
        <v>1241</v>
      </c>
      <c r="D302" s="8" t="s">
        <v>1245</v>
      </c>
      <c r="E302" s="8" t="s">
        <v>1246</v>
      </c>
      <c r="F302" s="8"/>
      <c r="G302" s="8" t="n">
        <v>17</v>
      </c>
      <c r="H302" s="13" t="n">
        <v>46350</v>
      </c>
      <c r="I302" s="8"/>
      <c r="J302" s="14"/>
      <c r="K302" s="15"/>
      <c r="L302" s="14"/>
      <c r="M302" s="14"/>
      <c r="N302" s="14"/>
    </row>
    <row r="303" customFormat="false" ht="35.05" hidden="false" customHeight="false" outlineLevel="0" collapsed="false">
      <c r="A303" s="8" t="s">
        <v>1247</v>
      </c>
      <c r="B303" s="8" t="s">
        <v>42</v>
      </c>
      <c r="C303" s="8" t="s">
        <v>1248</v>
      </c>
      <c r="D303" s="8" t="s">
        <v>1249</v>
      </c>
      <c r="E303" s="8" t="s">
        <v>1250</v>
      </c>
      <c r="F303" s="8" t="s">
        <v>211</v>
      </c>
      <c r="G303" s="8" t="n">
        <v>17</v>
      </c>
      <c r="H303" s="13" t="n">
        <v>46350</v>
      </c>
      <c r="I303" s="8"/>
      <c r="J303" s="14"/>
      <c r="K303" s="15"/>
      <c r="L303" s="14"/>
      <c r="M303" s="14"/>
      <c r="N303" s="14"/>
    </row>
    <row r="304" customFormat="false" ht="23.85" hidden="false" customHeight="false" outlineLevel="0" collapsed="false">
      <c r="A304" s="8" t="s">
        <v>1251</v>
      </c>
      <c r="B304" s="8" t="s">
        <v>42</v>
      </c>
      <c r="C304" s="8" t="s">
        <v>1252</v>
      </c>
      <c r="D304" s="8" t="s">
        <v>1253</v>
      </c>
      <c r="E304" s="8" t="s">
        <v>1254</v>
      </c>
      <c r="F304" s="8"/>
      <c r="G304" s="8" t="n">
        <v>17</v>
      </c>
      <c r="H304" s="13" t="n">
        <v>46350</v>
      </c>
      <c r="I304" s="8"/>
      <c r="J304" s="14"/>
      <c r="K304" s="15"/>
      <c r="L304" s="14"/>
      <c r="M304" s="14"/>
      <c r="N304" s="14"/>
    </row>
    <row r="305" customFormat="false" ht="35.05" hidden="false" customHeight="false" outlineLevel="0" collapsed="false">
      <c r="A305" s="8" t="s">
        <v>1255</v>
      </c>
      <c r="B305" s="8" t="s">
        <v>42</v>
      </c>
      <c r="C305" s="8" t="s">
        <v>1256</v>
      </c>
      <c r="D305" s="8" t="s">
        <v>1257</v>
      </c>
      <c r="E305" s="8" t="s">
        <v>1258</v>
      </c>
      <c r="F305" s="8"/>
      <c r="G305" s="8" t="n">
        <v>17</v>
      </c>
      <c r="H305" s="13" t="n">
        <v>46350</v>
      </c>
      <c r="I305" s="8" t="s">
        <v>23</v>
      </c>
      <c r="J305" s="14"/>
      <c r="K305" s="15"/>
      <c r="L305" s="14"/>
      <c r="M305" s="14"/>
      <c r="N305" s="14"/>
    </row>
    <row r="306" customFormat="false" ht="23.85" hidden="false" customHeight="false" outlineLevel="0" collapsed="false">
      <c r="A306" s="8" t="s">
        <v>1259</v>
      </c>
      <c r="B306" s="8" t="s">
        <v>42</v>
      </c>
      <c r="C306" s="8" t="s">
        <v>1256</v>
      </c>
      <c r="D306" s="8" t="s">
        <v>1260</v>
      </c>
      <c r="E306" s="8" t="s">
        <v>1261</v>
      </c>
      <c r="F306" s="8" t="s">
        <v>466</v>
      </c>
      <c r="G306" s="8" t="n">
        <v>17</v>
      </c>
      <c r="H306" s="13" t="n">
        <v>46350</v>
      </c>
      <c r="I306" s="8" t="s">
        <v>23</v>
      </c>
      <c r="J306" s="14"/>
      <c r="K306" s="15"/>
      <c r="L306" s="14"/>
      <c r="M306" s="14"/>
      <c r="N306" s="14"/>
    </row>
    <row r="307" customFormat="false" ht="23.85" hidden="false" customHeight="false" outlineLevel="0" collapsed="false">
      <c r="A307" s="8" t="s">
        <v>1262</v>
      </c>
      <c r="B307" s="8" t="s">
        <v>42</v>
      </c>
      <c r="C307" s="8" t="s">
        <v>1256</v>
      </c>
      <c r="D307" s="8" t="s">
        <v>1263</v>
      </c>
      <c r="E307" s="8" t="s">
        <v>1264</v>
      </c>
      <c r="F307" s="8" t="s">
        <v>466</v>
      </c>
      <c r="G307" s="8" t="n">
        <v>17</v>
      </c>
      <c r="H307" s="13" t="n">
        <v>46350</v>
      </c>
      <c r="I307" s="8"/>
      <c r="J307" s="14"/>
      <c r="K307" s="15"/>
      <c r="L307" s="14"/>
      <c r="M307" s="14"/>
      <c r="N307" s="14"/>
    </row>
    <row r="308" customFormat="false" ht="15" hidden="false" customHeight="false" outlineLevel="0" collapsed="false">
      <c r="A308" s="8" t="s">
        <v>1265</v>
      </c>
      <c r="B308" s="8" t="s">
        <v>42</v>
      </c>
      <c r="C308" s="8" t="s">
        <v>1256</v>
      </c>
      <c r="D308" s="8" t="s">
        <v>1266</v>
      </c>
      <c r="E308" s="8" t="s">
        <v>1267</v>
      </c>
      <c r="F308" s="8"/>
      <c r="G308" s="8" t="n">
        <v>17</v>
      </c>
      <c r="H308" s="13" t="n">
        <v>46350</v>
      </c>
      <c r="I308" s="8"/>
      <c r="J308" s="14"/>
      <c r="K308" s="15"/>
      <c r="L308" s="14"/>
      <c r="M308" s="14"/>
      <c r="N308" s="14"/>
    </row>
    <row r="309" customFormat="false" ht="23.85" hidden="false" customHeight="false" outlineLevel="0" collapsed="false">
      <c r="A309" s="8" t="s">
        <v>1268</v>
      </c>
      <c r="B309" s="8" t="s">
        <v>42</v>
      </c>
      <c r="C309" s="8" t="s">
        <v>1256</v>
      </c>
      <c r="D309" s="8" t="s">
        <v>1269</v>
      </c>
      <c r="E309" s="8" t="s">
        <v>1270</v>
      </c>
      <c r="F309" s="8"/>
      <c r="G309" s="8" t="n">
        <v>17</v>
      </c>
      <c r="H309" s="13" t="n">
        <v>46350</v>
      </c>
      <c r="I309" s="8"/>
      <c r="J309" s="14"/>
      <c r="K309" s="15"/>
      <c r="L309" s="14"/>
      <c r="M309" s="14"/>
      <c r="N309" s="14"/>
    </row>
    <row r="310" customFormat="false" ht="46.25" hidden="false" customHeight="false" outlineLevel="0" collapsed="false">
      <c r="A310" s="8" t="s">
        <v>1271</v>
      </c>
      <c r="B310" s="8" t="s">
        <v>42</v>
      </c>
      <c r="C310" s="8" t="s">
        <v>1272</v>
      </c>
      <c r="D310" s="8" t="s">
        <v>1273</v>
      </c>
      <c r="E310" s="8" t="s">
        <v>1274</v>
      </c>
      <c r="F310" s="8"/>
      <c r="G310" s="8" t="n">
        <v>17</v>
      </c>
      <c r="H310" s="13" t="n">
        <v>46350</v>
      </c>
      <c r="I310" s="8"/>
      <c r="J310" s="14"/>
      <c r="K310" s="15"/>
      <c r="L310" s="14"/>
      <c r="M310" s="14"/>
      <c r="N310" s="14"/>
    </row>
    <row r="311" customFormat="false" ht="15" hidden="false" customHeight="false" outlineLevel="0" collapsed="false">
      <c r="A311" s="8" t="s">
        <v>1275</v>
      </c>
      <c r="B311" s="8" t="s">
        <v>42</v>
      </c>
      <c r="C311" s="8" t="s">
        <v>1256</v>
      </c>
      <c r="D311" s="8" t="s">
        <v>1276</v>
      </c>
      <c r="E311" s="8" t="s">
        <v>1277</v>
      </c>
      <c r="F311" s="8"/>
      <c r="G311" s="8" t="n">
        <v>17</v>
      </c>
      <c r="H311" s="13" t="n">
        <v>46350</v>
      </c>
      <c r="I311" s="8"/>
      <c r="J311" s="14"/>
      <c r="K311" s="15"/>
      <c r="L311" s="14"/>
      <c r="M311" s="14"/>
      <c r="N311" s="14"/>
    </row>
    <row r="312" customFormat="false" ht="23.85" hidden="false" customHeight="false" outlineLevel="0" collapsed="false">
      <c r="A312" s="8" t="s">
        <v>1278</v>
      </c>
      <c r="B312" s="8" t="s">
        <v>42</v>
      </c>
      <c r="C312" s="8" t="s">
        <v>1279</v>
      </c>
      <c r="D312" s="8" t="s">
        <v>1280</v>
      </c>
      <c r="E312" s="8" t="s">
        <v>1281</v>
      </c>
      <c r="F312" s="8" t="s">
        <v>252</v>
      </c>
      <c r="G312" s="8" t="n">
        <v>17</v>
      </c>
      <c r="H312" s="13" t="n">
        <v>46350</v>
      </c>
      <c r="I312" s="8"/>
      <c r="J312" s="14"/>
      <c r="K312" s="15"/>
      <c r="L312" s="14"/>
      <c r="M312" s="14"/>
      <c r="N312" s="14"/>
    </row>
    <row r="313" customFormat="false" ht="23.85" hidden="false" customHeight="false" outlineLevel="0" collapsed="false">
      <c r="A313" s="8" t="s">
        <v>1282</v>
      </c>
      <c r="B313" s="8" t="s">
        <v>42</v>
      </c>
      <c r="C313" s="8" t="s">
        <v>1283</v>
      </c>
      <c r="D313" s="8" t="s">
        <v>1284</v>
      </c>
      <c r="E313" s="8" t="s">
        <v>1285</v>
      </c>
      <c r="F313" s="8" t="s">
        <v>1286</v>
      </c>
      <c r="G313" s="8" t="n">
        <v>17</v>
      </c>
      <c r="H313" s="13" t="n">
        <v>46350</v>
      </c>
      <c r="I313" s="8"/>
      <c r="J313" s="14"/>
      <c r="K313" s="15"/>
      <c r="L313" s="14"/>
      <c r="M313" s="14"/>
      <c r="N313" s="14"/>
    </row>
    <row r="314" customFormat="false" ht="35.05" hidden="false" customHeight="false" outlineLevel="0" collapsed="false">
      <c r="A314" s="8" t="s">
        <v>1287</v>
      </c>
      <c r="B314" s="8" t="s">
        <v>42</v>
      </c>
      <c r="C314" s="8" t="s">
        <v>1288</v>
      </c>
      <c r="D314" s="8" t="s">
        <v>1289</v>
      </c>
      <c r="E314" s="8" t="s">
        <v>1290</v>
      </c>
      <c r="F314" s="8" t="s">
        <v>252</v>
      </c>
      <c r="G314" s="8" t="n">
        <v>17</v>
      </c>
      <c r="H314" s="13" t="n">
        <v>46350</v>
      </c>
      <c r="I314" s="8" t="s">
        <v>23</v>
      </c>
      <c r="J314" s="14"/>
      <c r="K314" s="15"/>
      <c r="L314" s="14"/>
      <c r="M314" s="14"/>
      <c r="N314" s="14"/>
    </row>
    <row r="315" customFormat="false" ht="23.85" hidden="false" customHeight="false" outlineLevel="0" collapsed="false">
      <c r="A315" s="8" t="s">
        <v>1291</v>
      </c>
      <c r="B315" s="8" t="s">
        <v>42</v>
      </c>
      <c r="C315" s="8" t="s">
        <v>1292</v>
      </c>
      <c r="D315" s="8" t="s">
        <v>1293</v>
      </c>
      <c r="E315" s="8" t="s">
        <v>1294</v>
      </c>
      <c r="F315" s="8" t="s">
        <v>252</v>
      </c>
      <c r="G315" s="8" t="n">
        <v>17</v>
      </c>
      <c r="H315" s="13" t="n">
        <v>46350</v>
      </c>
      <c r="I315" s="8"/>
      <c r="J315" s="14"/>
      <c r="K315" s="15"/>
      <c r="L315" s="14"/>
      <c r="M315" s="14"/>
      <c r="N315" s="14"/>
    </row>
    <row r="316" customFormat="false" ht="23.85" hidden="false" customHeight="false" outlineLevel="0" collapsed="false">
      <c r="A316" s="8" t="s">
        <v>1295</v>
      </c>
      <c r="B316" s="8" t="s">
        <v>42</v>
      </c>
      <c r="C316" s="8" t="s">
        <v>1296</v>
      </c>
      <c r="D316" s="8" t="s">
        <v>1297</v>
      </c>
      <c r="E316" s="8" t="s">
        <v>1298</v>
      </c>
      <c r="F316" s="8" t="s">
        <v>1299</v>
      </c>
      <c r="G316" s="8" t="n">
        <v>17</v>
      </c>
      <c r="H316" s="13" t="n">
        <v>46350</v>
      </c>
      <c r="I316" s="8"/>
      <c r="J316" s="14"/>
      <c r="K316" s="15"/>
      <c r="L316" s="14"/>
      <c r="M316" s="14"/>
      <c r="N316" s="14"/>
    </row>
    <row r="317" customFormat="false" ht="23.85" hidden="false" customHeight="false" outlineLevel="0" collapsed="false">
      <c r="A317" s="8" t="s">
        <v>1300</v>
      </c>
      <c r="B317" s="8" t="s">
        <v>42</v>
      </c>
      <c r="C317" s="8" t="s">
        <v>1301</v>
      </c>
      <c r="D317" s="8" t="s">
        <v>1302</v>
      </c>
      <c r="E317" s="8" t="s">
        <v>1303</v>
      </c>
      <c r="F317" s="8" t="s">
        <v>252</v>
      </c>
      <c r="G317" s="8" t="n">
        <v>17</v>
      </c>
      <c r="H317" s="13" t="n">
        <v>46350</v>
      </c>
      <c r="I317" s="8" t="s">
        <v>23</v>
      </c>
      <c r="J317" s="14"/>
      <c r="K317" s="15"/>
      <c r="L317" s="14"/>
      <c r="M317" s="14"/>
      <c r="N317" s="14"/>
    </row>
    <row r="318" customFormat="false" ht="23.85" hidden="false" customHeight="false" outlineLevel="0" collapsed="false">
      <c r="A318" s="8" t="s">
        <v>1304</v>
      </c>
      <c r="B318" s="8" t="s">
        <v>42</v>
      </c>
      <c r="C318" s="8" t="s">
        <v>1305</v>
      </c>
      <c r="D318" s="8" t="s">
        <v>1306</v>
      </c>
      <c r="E318" s="8" t="s">
        <v>1307</v>
      </c>
      <c r="F318" s="8" t="s">
        <v>252</v>
      </c>
      <c r="G318" s="8" t="n">
        <v>17</v>
      </c>
      <c r="H318" s="13" t="n">
        <v>46350</v>
      </c>
      <c r="I318" s="8"/>
      <c r="J318" s="14"/>
      <c r="K318" s="15"/>
      <c r="L318" s="14"/>
      <c r="M318" s="14"/>
      <c r="N318" s="14"/>
    </row>
    <row r="319" customFormat="false" ht="35.05" hidden="false" customHeight="false" outlineLevel="0" collapsed="false">
      <c r="A319" s="8" t="s">
        <v>1308</v>
      </c>
      <c r="B319" s="8" t="s">
        <v>42</v>
      </c>
      <c r="C319" s="8" t="s">
        <v>1309</v>
      </c>
      <c r="D319" s="8" t="s">
        <v>1310</v>
      </c>
      <c r="E319" s="8" t="s">
        <v>1311</v>
      </c>
      <c r="F319" s="8" t="s">
        <v>252</v>
      </c>
      <c r="G319" s="8" t="n">
        <v>17</v>
      </c>
      <c r="H319" s="13" t="n">
        <v>46350</v>
      </c>
      <c r="I319" s="8"/>
      <c r="J319" s="14"/>
      <c r="K319" s="15"/>
      <c r="L319" s="14"/>
      <c r="M319" s="14"/>
      <c r="N319" s="14"/>
    </row>
    <row r="320" customFormat="false" ht="23.85" hidden="false" customHeight="false" outlineLevel="0" collapsed="false">
      <c r="A320" s="8" t="s">
        <v>1312</v>
      </c>
      <c r="B320" s="8" t="s">
        <v>42</v>
      </c>
      <c r="C320" s="8" t="s">
        <v>1313</v>
      </c>
      <c r="D320" s="8" t="s">
        <v>1314</v>
      </c>
      <c r="E320" s="8" t="s">
        <v>1315</v>
      </c>
      <c r="F320" s="8" t="s">
        <v>1141</v>
      </c>
      <c r="G320" s="8" t="n">
        <v>17</v>
      </c>
      <c r="H320" s="13" t="n">
        <v>46350</v>
      </c>
      <c r="I320" s="8" t="s">
        <v>23</v>
      </c>
      <c r="J320" s="14"/>
      <c r="K320" s="15"/>
      <c r="L320" s="14"/>
      <c r="M320" s="14"/>
      <c r="N320" s="14"/>
    </row>
    <row r="321" customFormat="false" ht="23.85" hidden="false" customHeight="false" outlineLevel="0" collapsed="false">
      <c r="A321" s="8" t="s">
        <v>1316</v>
      </c>
      <c r="B321" s="8" t="s">
        <v>42</v>
      </c>
      <c r="C321" s="8" t="s">
        <v>1313</v>
      </c>
      <c r="D321" s="8" t="s">
        <v>1317</v>
      </c>
      <c r="E321" s="8" t="s">
        <v>1318</v>
      </c>
      <c r="F321" s="8"/>
      <c r="G321" s="8" t="n">
        <v>17</v>
      </c>
      <c r="H321" s="13" t="n">
        <v>46350</v>
      </c>
      <c r="I321" s="8"/>
      <c r="J321" s="14"/>
      <c r="K321" s="15"/>
      <c r="L321" s="14"/>
      <c r="M321" s="14"/>
      <c r="N321" s="14"/>
    </row>
    <row r="322" customFormat="false" ht="15" hidden="false" customHeight="false" outlineLevel="0" collapsed="false">
      <c r="A322" s="8" t="s">
        <v>1319</v>
      </c>
      <c r="B322" s="8" t="s">
        <v>42</v>
      </c>
      <c r="C322" s="8" t="s">
        <v>1313</v>
      </c>
      <c r="D322" s="8" t="s">
        <v>1320</v>
      </c>
      <c r="E322" s="8" t="s">
        <v>1321</v>
      </c>
      <c r="F322" s="8"/>
      <c r="G322" s="8" t="n">
        <v>17</v>
      </c>
      <c r="H322" s="13" t="n">
        <v>46350</v>
      </c>
      <c r="I322" s="8"/>
      <c r="J322" s="14"/>
      <c r="K322" s="15"/>
      <c r="L322" s="14"/>
      <c r="M322" s="14"/>
      <c r="N322" s="14"/>
    </row>
    <row r="323" customFormat="false" ht="15" hidden="false" customHeight="false" outlineLevel="0" collapsed="false">
      <c r="A323" s="8" t="s">
        <v>1322</v>
      </c>
      <c r="B323" s="8" t="s">
        <v>42</v>
      </c>
      <c r="C323" s="8" t="s">
        <v>1313</v>
      </c>
      <c r="D323" s="8" t="s">
        <v>1323</v>
      </c>
      <c r="E323" s="8" t="s">
        <v>1324</v>
      </c>
      <c r="F323" s="8" t="s">
        <v>190</v>
      </c>
      <c r="G323" s="8" t="n">
        <v>17</v>
      </c>
      <c r="H323" s="13" t="n">
        <v>46350</v>
      </c>
      <c r="I323" s="8"/>
      <c r="J323" s="14"/>
      <c r="K323" s="15"/>
      <c r="L323" s="14"/>
      <c r="M323" s="14"/>
      <c r="N323" s="14"/>
    </row>
    <row r="324" customFormat="false" ht="23.85" hidden="false" customHeight="false" outlineLevel="0" collapsed="false">
      <c r="A324" s="8" t="s">
        <v>1325</v>
      </c>
      <c r="B324" s="8" t="s">
        <v>42</v>
      </c>
      <c r="C324" s="8" t="s">
        <v>1326</v>
      </c>
      <c r="D324" s="8" t="s">
        <v>1327</v>
      </c>
      <c r="E324" s="8" t="s">
        <v>1328</v>
      </c>
      <c r="F324" s="8" t="s">
        <v>211</v>
      </c>
      <c r="G324" s="8" t="n">
        <v>18</v>
      </c>
      <c r="H324" s="13" t="n">
        <v>46351</v>
      </c>
      <c r="I324" s="8" t="s">
        <v>23</v>
      </c>
      <c r="J324" s="14"/>
      <c r="K324" s="15"/>
      <c r="L324" s="14"/>
      <c r="M324" s="14"/>
      <c r="N324" s="14"/>
    </row>
    <row r="325" customFormat="false" ht="23.85" hidden="false" customHeight="false" outlineLevel="0" collapsed="false">
      <c r="A325" s="8" t="s">
        <v>1329</v>
      </c>
      <c r="B325" s="8" t="s">
        <v>42</v>
      </c>
      <c r="C325" s="8" t="s">
        <v>1330</v>
      </c>
      <c r="D325" s="8" t="s">
        <v>1331</v>
      </c>
      <c r="E325" s="8" t="s">
        <v>1332</v>
      </c>
      <c r="F325" s="8"/>
      <c r="G325" s="8" t="n">
        <v>18</v>
      </c>
      <c r="H325" s="13" t="n">
        <v>46351</v>
      </c>
      <c r="I325" s="8"/>
      <c r="J325" s="14"/>
      <c r="K325" s="15"/>
      <c r="L325" s="14"/>
      <c r="M325" s="14"/>
      <c r="N325" s="14"/>
    </row>
    <row r="326" customFormat="false" ht="23.85" hidden="false" customHeight="false" outlineLevel="0" collapsed="false">
      <c r="A326" s="8" t="s">
        <v>1333</v>
      </c>
      <c r="B326" s="8" t="s">
        <v>42</v>
      </c>
      <c r="C326" s="8" t="s">
        <v>1334</v>
      </c>
      <c r="D326" s="8" t="s">
        <v>1335</v>
      </c>
      <c r="E326" s="8" t="s">
        <v>1336</v>
      </c>
      <c r="F326" s="8"/>
      <c r="G326" s="8" t="n">
        <v>18</v>
      </c>
      <c r="H326" s="13" t="n">
        <v>46351</v>
      </c>
      <c r="I326" s="8"/>
      <c r="J326" s="14"/>
      <c r="K326" s="15"/>
      <c r="L326" s="14"/>
      <c r="M326" s="14"/>
      <c r="N326" s="14"/>
    </row>
    <row r="327" customFormat="false" ht="23.85" hidden="false" customHeight="false" outlineLevel="0" collapsed="false">
      <c r="A327" s="8" t="s">
        <v>1337</v>
      </c>
      <c r="B327" s="8" t="s">
        <v>42</v>
      </c>
      <c r="C327" s="8" t="s">
        <v>1338</v>
      </c>
      <c r="D327" s="8" t="s">
        <v>1339</v>
      </c>
      <c r="E327" s="8" t="s">
        <v>1340</v>
      </c>
      <c r="F327" s="8" t="s">
        <v>455</v>
      </c>
      <c r="G327" s="8" t="n">
        <v>18</v>
      </c>
      <c r="H327" s="13" t="n">
        <v>46351</v>
      </c>
      <c r="I327" s="8" t="s">
        <v>23</v>
      </c>
      <c r="J327" s="14"/>
      <c r="K327" s="15"/>
      <c r="L327" s="14"/>
      <c r="M327" s="14"/>
      <c r="N327" s="14"/>
    </row>
    <row r="328" customFormat="false" ht="23.85" hidden="false" customHeight="false" outlineLevel="0" collapsed="false">
      <c r="A328" s="8" t="s">
        <v>1341</v>
      </c>
      <c r="B328" s="8" t="s">
        <v>42</v>
      </c>
      <c r="C328" s="8" t="s">
        <v>901</v>
      </c>
      <c r="D328" s="8" t="s">
        <v>1342</v>
      </c>
      <c r="E328" s="8" t="s">
        <v>1343</v>
      </c>
      <c r="F328" s="8" t="s">
        <v>211</v>
      </c>
      <c r="G328" s="8" t="n">
        <v>18</v>
      </c>
      <c r="H328" s="13" t="n">
        <v>46351</v>
      </c>
      <c r="I328" s="8"/>
      <c r="J328" s="14"/>
      <c r="K328" s="15"/>
      <c r="L328" s="14"/>
      <c r="M328" s="14"/>
      <c r="N328" s="14"/>
    </row>
    <row r="329" customFormat="false" ht="23.85" hidden="false" customHeight="false" outlineLevel="0" collapsed="false">
      <c r="A329" s="8" t="s">
        <v>1344</v>
      </c>
      <c r="B329" s="8" t="s">
        <v>42</v>
      </c>
      <c r="C329" s="8" t="s">
        <v>1345</v>
      </c>
      <c r="D329" s="8" t="s">
        <v>1346</v>
      </c>
      <c r="E329" s="8" t="s">
        <v>1347</v>
      </c>
      <c r="F329" s="8"/>
      <c r="G329" s="8" t="n">
        <v>18</v>
      </c>
      <c r="H329" s="13" t="n">
        <v>46351</v>
      </c>
      <c r="I329" s="8"/>
      <c r="J329" s="14"/>
      <c r="K329" s="15"/>
      <c r="L329" s="14"/>
      <c r="M329" s="14"/>
      <c r="N329" s="14"/>
    </row>
    <row r="330" customFormat="false" ht="23.85" hidden="false" customHeight="false" outlineLevel="0" collapsed="false">
      <c r="A330" s="8" t="s">
        <v>1348</v>
      </c>
      <c r="B330" s="8" t="s">
        <v>42</v>
      </c>
      <c r="C330" s="8" t="s">
        <v>1349</v>
      </c>
      <c r="D330" s="8" t="s">
        <v>1350</v>
      </c>
      <c r="E330" s="8" t="s">
        <v>1351</v>
      </c>
      <c r="F330" s="8"/>
      <c r="G330" s="8" t="n">
        <v>18</v>
      </c>
      <c r="H330" s="13" t="n">
        <v>46351</v>
      </c>
      <c r="I330" s="8"/>
      <c r="J330" s="14"/>
      <c r="K330" s="15"/>
      <c r="L330" s="14"/>
      <c r="M330" s="14"/>
      <c r="N330" s="14"/>
    </row>
    <row r="331" customFormat="false" ht="35.05" hidden="false" customHeight="false" outlineLevel="0" collapsed="false">
      <c r="A331" s="8" t="s">
        <v>1352</v>
      </c>
      <c r="B331" s="8" t="s">
        <v>42</v>
      </c>
      <c r="C331" s="8" t="s">
        <v>1353</v>
      </c>
      <c r="D331" s="8" t="s">
        <v>1354</v>
      </c>
      <c r="E331" s="8" t="s">
        <v>1355</v>
      </c>
      <c r="F331" s="8" t="s">
        <v>190</v>
      </c>
      <c r="G331" s="8" t="n">
        <v>18</v>
      </c>
      <c r="H331" s="13" t="n">
        <v>46351</v>
      </c>
      <c r="I331" s="8" t="s">
        <v>23</v>
      </c>
      <c r="J331" s="14"/>
      <c r="K331" s="15"/>
      <c r="L331" s="14"/>
      <c r="M331" s="14"/>
      <c r="N331" s="14"/>
    </row>
    <row r="332" customFormat="false" ht="23.85" hidden="false" customHeight="false" outlineLevel="0" collapsed="false">
      <c r="A332" s="8" t="s">
        <v>1356</v>
      </c>
      <c r="B332" s="8" t="s">
        <v>42</v>
      </c>
      <c r="C332" s="8" t="s">
        <v>1357</v>
      </c>
      <c r="D332" s="8" t="s">
        <v>1358</v>
      </c>
      <c r="E332" s="8" t="s">
        <v>1359</v>
      </c>
      <c r="F332" s="8" t="s">
        <v>190</v>
      </c>
      <c r="G332" s="8" t="n">
        <v>18</v>
      </c>
      <c r="H332" s="13" t="n">
        <v>46351</v>
      </c>
      <c r="I332" s="8" t="s">
        <v>23</v>
      </c>
      <c r="J332" s="14"/>
      <c r="K332" s="15"/>
      <c r="L332" s="14"/>
      <c r="M332" s="14"/>
      <c r="N332" s="14"/>
    </row>
    <row r="333" customFormat="false" ht="23.85" hidden="false" customHeight="false" outlineLevel="0" collapsed="false">
      <c r="A333" s="8" t="s">
        <v>1360</v>
      </c>
      <c r="B333" s="8" t="s">
        <v>42</v>
      </c>
      <c r="C333" s="8" t="s">
        <v>1357</v>
      </c>
      <c r="D333" s="8" t="s">
        <v>1361</v>
      </c>
      <c r="E333" s="8" t="s">
        <v>1362</v>
      </c>
      <c r="F333" s="8"/>
      <c r="G333" s="8" t="n">
        <v>18</v>
      </c>
      <c r="H333" s="13" t="n">
        <v>46351</v>
      </c>
      <c r="I333" s="8"/>
      <c r="J333" s="14"/>
      <c r="K333" s="15"/>
      <c r="L333" s="14"/>
      <c r="M333" s="14"/>
      <c r="N333" s="14"/>
    </row>
    <row r="334" customFormat="false" ht="23.85" hidden="false" customHeight="false" outlineLevel="0" collapsed="false">
      <c r="A334" s="8" t="s">
        <v>1363</v>
      </c>
      <c r="B334" s="8" t="s">
        <v>42</v>
      </c>
      <c r="C334" s="8" t="s">
        <v>485</v>
      </c>
      <c r="D334" s="8" t="s">
        <v>1364</v>
      </c>
      <c r="E334" s="8" t="s">
        <v>1365</v>
      </c>
      <c r="F334" s="8"/>
      <c r="G334" s="8" t="n">
        <v>18</v>
      </c>
      <c r="H334" s="13" t="n">
        <v>46351</v>
      </c>
      <c r="I334" s="8"/>
      <c r="J334" s="14"/>
      <c r="K334" s="15"/>
      <c r="L334" s="14"/>
      <c r="M334" s="14"/>
      <c r="N334" s="14"/>
    </row>
    <row r="335" customFormat="false" ht="35.05" hidden="false" customHeight="false" outlineLevel="0" collapsed="false">
      <c r="A335" s="8" t="s">
        <v>1366</v>
      </c>
      <c r="B335" s="8" t="s">
        <v>42</v>
      </c>
      <c r="C335" s="8" t="s">
        <v>1367</v>
      </c>
      <c r="D335" s="8" t="s">
        <v>1368</v>
      </c>
      <c r="E335" s="8" t="s">
        <v>1369</v>
      </c>
      <c r="F335" s="8" t="s">
        <v>1370</v>
      </c>
      <c r="G335" s="8" t="n">
        <v>18</v>
      </c>
      <c r="H335" s="13" t="n">
        <v>46351</v>
      </c>
      <c r="I335" s="8" t="s">
        <v>23</v>
      </c>
      <c r="J335" s="14"/>
      <c r="K335" s="15"/>
      <c r="L335" s="14"/>
      <c r="M335" s="14"/>
      <c r="N335" s="14"/>
    </row>
    <row r="336" customFormat="false" ht="23.85" hidden="false" customHeight="false" outlineLevel="0" collapsed="false">
      <c r="A336" s="8" t="s">
        <v>1371</v>
      </c>
      <c r="B336" s="8" t="s">
        <v>42</v>
      </c>
      <c r="C336" s="8" t="s">
        <v>1367</v>
      </c>
      <c r="D336" s="8" t="s">
        <v>1372</v>
      </c>
      <c r="E336" s="8" t="s">
        <v>1373</v>
      </c>
      <c r="F336" s="8" t="s">
        <v>1299</v>
      </c>
      <c r="G336" s="8" t="n">
        <v>18</v>
      </c>
      <c r="H336" s="13" t="n">
        <v>46351</v>
      </c>
      <c r="I336" s="8"/>
      <c r="J336" s="14"/>
      <c r="K336" s="15"/>
      <c r="L336" s="14"/>
      <c r="M336" s="14"/>
      <c r="N336" s="14"/>
    </row>
    <row r="337" customFormat="false" ht="23.85" hidden="false" customHeight="false" outlineLevel="0" collapsed="false">
      <c r="A337" s="8" t="s">
        <v>1374</v>
      </c>
      <c r="B337" s="8" t="s">
        <v>42</v>
      </c>
      <c r="C337" s="8" t="s">
        <v>1375</v>
      </c>
      <c r="D337" s="8" t="s">
        <v>1376</v>
      </c>
      <c r="E337" s="8" t="s">
        <v>1377</v>
      </c>
      <c r="F337" s="8" t="s">
        <v>190</v>
      </c>
      <c r="G337" s="8" t="n">
        <v>18</v>
      </c>
      <c r="H337" s="13" t="n">
        <v>46351</v>
      </c>
      <c r="I337" s="8"/>
      <c r="J337" s="14"/>
      <c r="K337" s="15"/>
      <c r="L337" s="14"/>
      <c r="M337" s="14"/>
      <c r="N337" s="14"/>
    </row>
    <row r="338" customFormat="false" ht="23.85" hidden="false" customHeight="false" outlineLevel="0" collapsed="false">
      <c r="A338" s="8" t="s">
        <v>1378</v>
      </c>
      <c r="B338" s="8" t="s">
        <v>42</v>
      </c>
      <c r="C338" s="8" t="s">
        <v>1379</v>
      </c>
      <c r="D338" s="8" t="s">
        <v>1380</v>
      </c>
      <c r="E338" s="8" t="s">
        <v>1381</v>
      </c>
      <c r="F338" s="8" t="s">
        <v>190</v>
      </c>
      <c r="G338" s="8" t="n">
        <v>18</v>
      </c>
      <c r="H338" s="13" t="n">
        <v>46351</v>
      </c>
      <c r="I338" s="8"/>
      <c r="J338" s="14"/>
      <c r="K338" s="15"/>
      <c r="L338" s="14"/>
      <c r="M338" s="14"/>
      <c r="N338" s="14"/>
    </row>
    <row r="339" customFormat="false" ht="15" hidden="false" customHeight="false" outlineLevel="0" collapsed="false">
      <c r="A339" s="8" t="s">
        <v>1382</v>
      </c>
      <c r="B339" s="8" t="s">
        <v>42</v>
      </c>
      <c r="C339" s="8" t="s">
        <v>1383</v>
      </c>
      <c r="D339" s="8" t="s">
        <v>1384</v>
      </c>
      <c r="E339" s="8" t="s">
        <v>1385</v>
      </c>
      <c r="F339" s="8" t="s">
        <v>190</v>
      </c>
      <c r="G339" s="8" t="n">
        <v>18</v>
      </c>
      <c r="H339" s="13" t="n">
        <v>46351</v>
      </c>
      <c r="I339" s="8"/>
      <c r="J339" s="14"/>
      <c r="K339" s="15"/>
      <c r="L339" s="14"/>
      <c r="M339" s="14"/>
      <c r="N339" s="14"/>
    </row>
    <row r="340" customFormat="false" ht="23.85" hidden="false" customHeight="false" outlineLevel="0" collapsed="false">
      <c r="A340" s="8" t="s">
        <v>1386</v>
      </c>
      <c r="B340" s="8" t="s">
        <v>42</v>
      </c>
      <c r="C340" s="8" t="s">
        <v>1387</v>
      </c>
      <c r="D340" s="8" t="s">
        <v>1388</v>
      </c>
      <c r="E340" s="8" t="s">
        <v>1389</v>
      </c>
      <c r="F340" s="8" t="s">
        <v>190</v>
      </c>
      <c r="G340" s="8" t="n">
        <v>18</v>
      </c>
      <c r="H340" s="13" t="n">
        <v>46351</v>
      </c>
      <c r="I340" s="8"/>
      <c r="J340" s="14"/>
      <c r="K340" s="15"/>
      <c r="L340" s="14"/>
      <c r="M340" s="14"/>
      <c r="N340" s="14"/>
    </row>
    <row r="341" customFormat="false" ht="35.05" hidden="false" customHeight="false" outlineLevel="0" collapsed="false">
      <c r="A341" s="8" t="s">
        <v>1390</v>
      </c>
      <c r="B341" s="8" t="s">
        <v>42</v>
      </c>
      <c r="C341" s="8" t="s">
        <v>1391</v>
      </c>
      <c r="D341" s="8" t="s">
        <v>1392</v>
      </c>
      <c r="E341" s="8" t="s">
        <v>1393</v>
      </c>
      <c r="F341" s="8" t="s">
        <v>1370</v>
      </c>
      <c r="G341" s="8" t="n">
        <v>18</v>
      </c>
      <c r="H341" s="13" t="n">
        <v>46351</v>
      </c>
      <c r="I341" s="8"/>
      <c r="J341" s="14"/>
      <c r="K341" s="15"/>
      <c r="L341" s="14"/>
      <c r="M341" s="14"/>
      <c r="N341" s="14"/>
    </row>
    <row r="342" customFormat="false" ht="15" hidden="false" customHeight="false" outlineLevel="0" collapsed="false">
      <c r="A342" s="8" t="s">
        <v>1394</v>
      </c>
      <c r="B342" s="8" t="s">
        <v>42</v>
      </c>
      <c r="C342" s="8" t="s">
        <v>1395</v>
      </c>
      <c r="D342" s="8" t="s">
        <v>1396</v>
      </c>
      <c r="E342" s="8" t="s">
        <v>1397</v>
      </c>
      <c r="F342" s="8" t="s">
        <v>240</v>
      </c>
      <c r="G342" s="8" t="n">
        <v>18</v>
      </c>
      <c r="H342" s="13" t="n">
        <v>46351</v>
      </c>
      <c r="I342" s="8"/>
      <c r="J342" s="14"/>
      <c r="K342" s="15"/>
      <c r="L342" s="14"/>
      <c r="M342" s="14"/>
      <c r="N342" s="14"/>
    </row>
    <row r="343" customFormat="false" ht="23.85" hidden="false" customHeight="false" outlineLevel="0" collapsed="false">
      <c r="A343" s="8" t="s">
        <v>1398</v>
      </c>
      <c r="B343" s="8" t="s">
        <v>42</v>
      </c>
      <c r="C343" s="8" t="s">
        <v>1399</v>
      </c>
      <c r="D343" s="8" t="s">
        <v>1400</v>
      </c>
      <c r="E343" s="8" t="s">
        <v>1401</v>
      </c>
      <c r="F343" s="8"/>
      <c r="G343" s="8" t="n">
        <v>18</v>
      </c>
      <c r="H343" s="13" t="n">
        <v>46351</v>
      </c>
      <c r="I343" s="8"/>
      <c r="J343" s="14"/>
      <c r="K343" s="15"/>
      <c r="L343" s="14"/>
      <c r="M343" s="14"/>
      <c r="N343" s="14"/>
    </row>
    <row r="344" customFormat="false" ht="23.85" hidden="false" customHeight="false" outlineLevel="0" collapsed="false">
      <c r="A344" s="8" t="s">
        <v>1402</v>
      </c>
      <c r="B344" s="8" t="s">
        <v>42</v>
      </c>
      <c r="C344" s="8" t="s">
        <v>1399</v>
      </c>
      <c r="D344" s="8" t="s">
        <v>1403</v>
      </c>
      <c r="E344" s="8" t="s">
        <v>1404</v>
      </c>
      <c r="F344" s="8"/>
      <c r="G344" s="8" t="n">
        <v>18</v>
      </c>
      <c r="H344" s="13" t="n">
        <v>46351</v>
      </c>
      <c r="I344" s="8"/>
      <c r="J344" s="14"/>
      <c r="K344" s="15"/>
      <c r="L344" s="14"/>
      <c r="M344" s="14"/>
      <c r="N344" s="14"/>
    </row>
    <row r="345" customFormat="false" ht="23.85" hidden="false" customHeight="false" outlineLevel="0" collapsed="false">
      <c r="A345" s="8" t="s">
        <v>1405</v>
      </c>
      <c r="B345" s="8" t="s">
        <v>42</v>
      </c>
      <c r="C345" s="8" t="s">
        <v>1406</v>
      </c>
      <c r="D345" s="8" t="s">
        <v>1407</v>
      </c>
      <c r="E345" s="8" t="s">
        <v>1408</v>
      </c>
      <c r="F345" s="8"/>
      <c r="G345" s="8" t="n">
        <v>18</v>
      </c>
      <c r="H345" s="13" t="n">
        <v>46351</v>
      </c>
      <c r="I345" s="8"/>
      <c r="J345" s="14"/>
      <c r="K345" s="15"/>
      <c r="L345" s="14"/>
      <c r="M345" s="14"/>
      <c r="N345" s="14"/>
    </row>
    <row r="346" customFormat="false" ht="23.85" hidden="false" customHeight="false" outlineLevel="0" collapsed="false">
      <c r="A346" s="8" t="s">
        <v>1409</v>
      </c>
      <c r="B346" s="8" t="s">
        <v>42</v>
      </c>
      <c r="C346" s="8" t="s">
        <v>1410</v>
      </c>
      <c r="D346" s="8" t="s">
        <v>1411</v>
      </c>
      <c r="E346" s="8" t="s">
        <v>1412</v>
      </c>
      <c r="F346" s="8" t="s">
        <v>1005</v>
      </c>
      <c r="G346" s="8" t="n">
        <v>19</v>
      </c>
      <c r="H346" s="13" t="n">
        <v>46352</v>
      </c>
      <c r="I346" s="8"/>
      <c r="J346" s="14"/>
      <c r="K346" s="15"/>
      <c r="L346" s="14"/>
      <c r="M346" s="14"/>
      <c r="N346" s="14"/>
    </row>
    <row r="347" customFormat="false" ht="23.85" hidden="false" customHeight="false" outlineLevel="0" collapsed="false">
      <c r="A347" s="8" t="s">
        <v>1413</v>
      </c>
      <c r="B347" s="8" t="s">
        <v>42</v>
      </c>
      <c r="C347" s="8" t="s">
        <v>1410</v>
      </c>
      <c r="D347" s="8" t="s">
        <v>1414</v>
      </c>
      <c r="E347" s="8" t="s">
        <v>1415</v>
      </c>
      <c r="F347" s="8"/>
      <c r="G347" s="8" t="n">
        <v>19</v>
      </c>
      <c r="H347" s="13" t="n">
        <v>46352</v>
      </c>
      <c r="I347" s="8"/>
      <c r="J347" s="14"/>
      <c r="K347" s="15"/>
      <c r="L347" s="14"/>
      <c r="M347" s="14"/>
      <c r="N347" s="14"/>
    </row>
    <row r="348" customFormat="false" ht="23.85" hidden="false" customHeight="false" outlineLevel="0" collapsed="false">
      <c r="A348" s="8" t="s">
        <v>1416</v>
      </c>
      <c r="B348" s="8" t="s">
        <v>42</v>
      </c>
      <c r="C348" s="8" t="s">
        <v>1417</v>
      </c>
      <c r="D348" s="8" t="s">
        <v>1418</v>
      </c>
      <c r="E348" s="8" t="s">
        <v>1419</v>
      </c>
      <c r="F348" s="8"/>
      <c r="G348" s="8" t="n">
        <v>19</v>
      </c>
      <c r="H348" s="13" t="n">
        <v>46352</v>
      </c>
      <c r="I348" s="8"/>
      <c r="J348" s="14"/>
      <c r="K348" s="15"/>
      <c r="L348" s="14"/>
      <c r="M348" s="14"/>
      <c r="N348" s="14"/>
    </row>
    <row r="349" customFormat="false" ht="23.85" hidden="false" customHeight="false" outlineLevel="0" collapsed="false">
      <c r="A349" s="8" t="s">
        <v>1420</v>
      </c>
      <c r="B349" s="8" t="s">
        <v>42</v>
      </c>
      <c r="C349" s="8" t="s">
        <v>1421</v>
      </c>
      <c r="D349" s="8" t="s">
        <v>1422</v>
      </c>
      <c r="E349" s="8" t="s">
        <v>1423</v>
      </c>
      <c r="F349" s="8"/>
      <c r="G349" s="8" t="n">
        <v>19</v>
      </c>
      <c r="H349" s="13" t="n">
        <v>46352</v>
      </c>
      <c r="I349" s="8"/>
      <c r="J349" s="14"/>
      <c r="K349" s="15"/>
      <c r="L349" s="14"/>
      <c r="M349" s="14"/>
      <c r="N349" s="14"/>
    </row>
    <row r="350" customFormat="false" ht="23.85" hidden="false" customHeight="false" outlineLevel="0" collapsed="false">
      <c r="A350" s="8" t="s">
        <v>1424</v>
      </c>
      <c r="B350" s="8" t="s">
        <v>42</v>
      </c>
      <c r="C350" s="8" t="s">
        <v>1425</v>
      </c>
      <c r="D350" s="8" t="s">
        <v>1426</v>
      </c>
      <c r="E350" s="8" t="s">
        <v>1427</v>
      </c>
      <c r="F350" s="8" t="s">
        <v>1428</v>
      </c>
      <c r="G350" s="8" t="n">
        <v>19</v>
      </c>
      <c r="H350" s="13" t="n">
        <v>46352</v>
      </c>
      <c r="I350" s="8"/>
      <c r="J350" s="14"/>
      <c r="K350" s="15"/>
      <c r="L350" s="14"/>
      <c r="M350" s="14"/>
      <c r="N350" s="14"/>
    </row>
    <row r="351" customFormat="false" ht="35.05" hidden="false" customHeight="false" outlineLevel="0" collapsed="false">
      <c r="A351" s="8" t="s">
        <v>1429</v>
      </c>
      <c r="B351" s="8" t="s">
        <v>42</v>
      </c>
      <c r="C351" s="8" t="s">
        <v>1430</v>
      </c>
      <c r="D351" s="8" t="s">
        <v>1431</v>
      </c>
      <c r="E351" s="8" t="s">
        <v>1432</v>
      </c>
      <c r="F351" s="8"/>
      <c r="G351" s="8" t="n">
        <v>19</v>
      </c>
      <c r="H351" s="13" t="n">
        <v>46352</v>
      </c>
      <c r="I351" s="8"/>
      <c r="J351" s="14"/>
      <c r="K351" s="15"/>
      <c r="L351" s="14"/>
      <c r="M351" s="14"/>
      <c r="N351" s="14"/>
    </row>
    <row r="352" customFormat="false" ht="46.25" hidden="false" customHeight="false" outlineLevel="0" collapsed="false">
      <c r="A352" s="8" t="s">
        <v>1433</v>
      </c>
      <c r="B352" s="8" t="s">
        <v>42</v>
      </c>
      <c r="C352" s="8" t="s">
        <v>1434</v>
      </c>
      <c r="D352" s="8" t="s">
        <v>1435</v>
      </c>
      <c r="E352" s="8" t="s">
        <v>1436</v>
      </c>
      <c r="F352" s="8"/>
      <c r="G352" s="8" t="n">
        <v>19</v>
      </c>
      <c r="H352" s="13" t="n">
        <v>46352</v>
      </c>
      <c r="I352" s="8" t="s">
        <v>23</v>
      </c>
      <c r="J352" s="14"/>
      <c r="K352" s="15"/>
      <c r="L352" s="14"/>
      <c r="M352" s="14"/>
      <c r="N352" s="14"/>
    </row>
    <row r="353" customFormat="false" ht="15" hidden="false" customHeight="false" outlineLevel="0" collapsed="false">
      <c r="A353" s="8" t="s">
        <v>1437</v>
      </c>
      <c r="B353" s="8" t="s">
        <v>42</v>
      </c>
      <c r="C353" s="8" t="s">
        <v>1438</v>
      </c>
      <c r="D353" s="8" t="s">
        <v>1439</v>
      </c>
      <c r="E353" s="8" t="s">
        <v>1440</v>
      </c>
      <c r="F353" s="8"/>
      <c r="G353" s="8" t="n">
        <v>19</v>
      </c>
      <c r="H353" s="13" t="n">
        <v>46352</v>
      </c>
      <c r="I353" s="8"/>
      <c r="J353" s="14"/>
      <c r="K353" s="15"/>
      <c r="L353" s="14"/>
      <c r="M353" s="14"/>
      <c r="N353" s="14"/>
    </row>
    <row r="354" customFormat="false" ht="35.05" hidden="false" customHeight="false" outlineLevel="0" collapsed="false">
      <c r="A354" s="8" t="s">
        <v>1441</v>
      </c>
      <c r="B354" s="8" t="s">
        <v>42</v>
      </c>
      <c r="C354" s="8" t="s">
        <v>1442</v>
      </c>
      <c r="D354" s="8" t="s">
        <v>1443</v>
      </c>
      <c r="E354" s="8" t="s">
        <v>1444</v>
      </c>
      <c r="F354" s="8" t="s">
        <v>211</v>
      </c>
      <c r="G354" s="8" t="n">
        <v>19</v>
      </c>
      <c r="H354" s="13" t="n">
        <v>46352</v>
      </c>
      <c r="I354" s="8"/>
      <c r="J354" s="14"/>
      <c r="K354" s="15"/>
      <c r="L354" s="14"/>
      <c r="M354" s="14"/>
      <c r="N354" s="14"/>
    </row>
    <row r="355" customFormat="false" ht="15" hidden="false" customHeight="false" outlineLevel="0" collapsed="false">
      <c r="A355" s="8" t="s">
        <v>1445</v>
      </c>
      <c r="B355" s="8" t="s">
        <v>42</v>
      </c>
      <c r="C355" s="8" t="s">
        <v>1446</v>
      </c>
      <c r="D355" s="8" t="s">
        <v>1447</v>
      </c>
      <c r="E355" s="8" t="s">
        <v>1448</v>
      </c>
      <c r="F355" s="8"/>
      <c r="G355" s="8" t="n">
        <v>19</v>
      </c>
      <c r="H355" s="13" t="n">
        <v>46352</v>
      </c>
      <c r="I355" s="8"/>
      <c r="J355" s="14"/>
      <c r="K355" s="15"/>
      <c r="L355" s="14"/>
      <c r="M355" s="14"/>
      <c r="N355" s="14"/>
    </row>
    <row r="356" customFormat="false" ht="35.05" hidden="false" customHeight="false" outlineLevel="0" collapsed="false">
      <c r="A356" s="8" t="s">
        <v>1449</v>
      </c>
      <c r="B356" s="8" t="s">
        <v>42</v>
      </c>
      <c r="C356" s="8" t="s">
        <v>1450</v>
      </c>
      <c r="D356" s="8" t="s">
        <v>1451</v>
      </c>
      <c r="E356" s="8" t="s">
        <v>1452</v>
      </c>
      <c r="F356" s="8" t="s">
        <v>1151</v>
      </c>
      <c r="G356" s="8" t="n">
        <v>19</v>
      </c>
      <c r="H356" s="13" t="n">
        <v>46352</v>
      </c>
      <c r="I356" s="8" t="s">
        <v>23</v>
      </c>
      <c r="J356" s="14"/>
      <c r="K356" s="15"/>
      <c r="L356" s="14"/>
      <c r="M356" s="14"/>
      <c r="N356" s="14"/>
    </row>
    <row r="357" customFormat="false" ht="23.85" hidden="false" customHeight="false" outlineLevel="0" collapsed="false">
      <c r="A357" s="8" t="s">
        <v>1453</v>
      </c>
      <c r="B357" s="8" t="s">
        <v>42</v>
      </c>
      <c r="C357" s="8" t="s">
        <v>1450</v>
      </c>
      <c r="D357" s="8" t="s">
        <v>1454</v>
      </c>
      <c r="E357" s="8" t="s">
        <v>1455</v>
      </c>
      <c r="F357" s="8" t="s">
        <v>190</v>
      </c>
      <c r="G357" s="8" t="n">
        <v>19</v>
      </c>
      <c r="H357" s="13" t="n">
        <v>46352</v>
      </c>
      <c r="I357" s="8"/>
      <c r="J357" s="14"/>
      <c r="K357" s="15"/>
      <c r="L357" s="14"/>
      <c r="M357" s="14"/>
      <c r="N357" s="14"/>
    </row>
    <row r="358" customFormat="false" ht="15" hidden="false" customHeight="false" outlineLevel="0" collapsed="false">
      <c r="A358" s="8" t="s">
        <v>1456</v>
      </c>
      <c r="B358" s="8" t="s">
        <v>42</v>
      </c>
      <c r="C358" s="8" t="s">
        <v>1457</v>
      </c>
      <c r="D358" s="8" t="s">
        <v>1458</v>
      </c>
      <c r="E358" s="8" t="s">
        <v>1459</v>
      </c>
      <c r="F358" s="8"/>
      <c r="G358" s="8" t="n">
        <v>19</v>
      </c>
      <c r="H358" s="13" t="n">
        <v>46352</v>
      </c>
      <c r="I358" s="8"/>
      <c r="J358" s="14"/>
      <c r="K358" s="15"/>
      <c r="L358" s="14"/>
      <c r="M358" s="14"/>
      <c r="N358" s="14"/>
    </row>
    <row r="359" customFormat="false" ht="57.45" hidden="false" customHeight="false" outlineLevel="0" collapsed="false">
      <c r="A359" s="8" t="s">
        <v>1460</v>
      </c>
      <c r="B359" s="8" t="s">
        <v>42</v>
      </c>
      <c r="C359" s="8" t="s">
        <v>1461</v>
      </c>
      <c r="D359" s="8" t="s">
        <v>1462</v>
      </c>
      <c r="E359" s="8" t="s">
        <v>1463</v>
      </c>
      <c r="F359" s="8" t="s">
        <v>190</v>
      </c>
      <c r="G359" s="8" t="n">
        <v>19</v>
      </c>
      <c r="H359" s="13" t="n">
        <v>46352</v>
      </c>
      <c r="I359" s="8"/>
      <c r="J359" s="14"/>
      <c r="K359" s="15"/>
      <c r="L359" s="14"/>
      <c r="M359" s="14"/>
      <c r="N359" s="14"/>
    </row>
    <row r="360" customFormat="false" ht="35.05" hidden="false" customHeight="false" outlineLevel="0" collapsed="false">
      <c r="A360" s="8" t="s">
        <v>1464</v>
      </c>
      <c r="B360" s="8" t="s">
        <v>42</v>
      </c>
      <c r="C360" s="8" t="s">
        <v>1465</v>
      </c>
      <c r="D360" s="8" t="s">
        <v>1466</v>
      </c>
      <c r="E360" s="8" t="s">
        <v>1467</v>
      </c>
      <c r="F360" s="8"/>
      <c r="G360" s="8" t="n">
        <v>19</v>
      </c>
      <c r="H360" s="13" t="n">
        <v>46352</v>
      </c>
      <c r="I360" s="8" t="s">
        <v>23</v>
      </c>
      <c r="J360" s="14"/>
      <c r="K360" s="15"/>
      <c r="L360" s="14"/>
      <c r="M360" s="14"/>
      <c r="N360" s="14"/>
    </row>
    <row r="361" customFormat="false" ht="15" hidden="false" customHeight="false" outlineLevel="0" collapsed="false">
      <c r="A361" s="8" t="s">
        <v>1468</v>
      </c>
      <c r="B361" s="8" t="s">
        <v>42</v>
      </c>
      <c r="C361" s="8" t="s">
        <v>1465</v>
      </c>
      <c r="D361" s="8" t="s">
        <v>1469</v>
      </c>
      <c r="E361" s="8" t="s">
        <v>1470</v>
      </c>
      <c r="F361" s="8" t="s">
        <v>121</v>
      </c>
      <c r="G361" s="8" t="n">
        <v>19</v>
      </c>
      <c r="H361" s="13" t="n">
        <v>46352</v>
      </c>
      <c r="I361" s="8"/>
      <c r="J361" s="14"/>
      <c r="K361" s="15"/>
      <c r="L361" s="14"/>
      <c r="M361" s="14"/>
      <c r="N361" s="14"/>
    </row>
    <row r="362" customFormat="false" ht="23.85" hidden="false" customHeight="false" outlineLevel="0" collapsed="false">
      <c r="A362" s="8" t="s">
        <v>1471</v>
      </c>
      <c r="B362" s="8" t="s">
        <v>42</v>
      </c>
      <c r="C362" s="8" t="s">
        <v>1472</v>
      </c>
      <c r="D362" s="8" t="s">
        <v>1473</v>
      </c>
      <c r="E362" s="8" t="s">
        <v>1474</v>
      </c>
      <c r="F362" s="8" t="s">
        <v>1475</v>
      </c>
      <c r="G362" s="8" t="n">
        <v>19</v>
      </c>
      <c r="H362" s="13" t="n">
        <v>46352</v>
      </c>
      <c r="I362" s="8"/>
      <c r="J362" s="14"/>
      <c r="K362" s="15"/>
      <c r="L362" s="14"/>
      <c r="M362" s="14"/>
      <c r="N362" s="14"/>
    </row>
    <row r="363" customFormat="false" ht="23.85" hidden="false" customHeight="false" outlineLevel="0" collapsed="false">
      <c r="A363" s="8" t="s">
        <v>1476</v>
      </c>
      <c r="B363" s="8" t="s">
        <v>42</v>
      </c>
      <c r="C363" s="8" t="s">
        <v>1477</v>
      </c>
      <c r="D363" s="8" t="s">
        <v>1478</v>
      </c>
      <c r="E363" s="8" t="s">
        <v>1479</v>
      </c>
      <c r="F363" s="8" t="s">
        <v>912</v>
      </c>
      <c r="G363" s="8" t="n">
        <v>19</v>
      </c>
      <c r="H363" s="13" t="n">
        <v>46352</v>
      </c>
      <c r="I363" s="8"/>
      <c r="J363" s="14"/>
      <c r="K363" s="15"/>
      <c r="L363" s="14"/>
      <c r="M363" s="14"/>
      <c r="N363" s="14"/>
    </row>
    <row r="364" customFormat="false" ht="23.85" hidden="false" customHeight="false" outlineLevel="0" collapsed="false">
      <c r="A364" s="8" t="s">
        <v>1480</v>
      </c>
      <c r="B364" s="8" t="s">
        <v>42</v>
      </c>
      <c r="C364" s="8" t="s">
        <v>1481</v>
      </c>
      <c r="D364" s="8" t="s">
        <v>1482</v>
      </c>
      <c r="E364" s="8" t="s">
        <v>1483</v>
      </c>
      <c r="F364" s="8"/>
      <c r="G364" s="8" t="n">
        <v>19</v>
      </c>
      <c r="H364" s="13" t="n">
        <v>46352</v>
      </c>
      <c r="I364" s="8"/>
      <c r="J364" s="14"/>
      <c r="K364" s="15"/>
      <c r="L364" s="14"/>
      <c r="M364" s="14"/>
      <c r="N364" s="14"/>
    </row>
    <row r="365" customFormat="false" ht="23.85" hidden="false" customHeight="false" outlineLevel="0" collapsed="false">
      <c r="A365" s="8" t="s">
        <v>1484</v>
      </c>
      <c r="B365" s="8" t="s">
        <v>42</v>
      </c>
      <c r="C365" s="8" t="s">
        <v>1485</v>
      </c>
      <c r="D365" s="8" t="s">
        <v>1486</v>
      </c>
      <c r="E365" s="8" t="s">
        <v>1487</v>
      </c>
      <c r="F365" s="8" t="s">
        <v>1005</v>
      </c>
      <c r="G365" s="8" t="n">
        <v>19</v>
      </c>
      <c r="H365" s="13" t="n">
        <v>46352</v>
      </c>
      <c r="I365" s="8"/>
      <c r="J365" s="14"/>
      <c r="K365" s="15"/>
      <c r="L365" s="14"/>
      <c r="M365" s="14"/>
      <c r="N365" s="14"/>
    </row>
    <row r="366" customFormat="false" ht="46.25" hidden="false" customHeight="false" outlineLevel="0" collapsed="false">
      <c r="A366" s="8" t="s">
        <v>1488</v>
      </c>
      <c r="B366" s="8" t="s">
        <v>42</v>
      </c>
      <c r="C366" s="8" t="s">
        <v>1489</v>
      </c>
      <c r="D366" s="8" t="s">
        <v>1490</v>
      </c>
      <c r="E366" s="8" t="s">
        <v>1491</v>
      </c>
      <c r="F366" s="8" t="s">
        <v>1005</v>
      </c>
      <c r="G366" s="8" t="n">
        <v>19</v>
      </c>
      <c r="H366" s="13" t="n">
        <v>46352</v>
      </c>
      <c r="I366" s="8"/>
      <c r="J366" s="14"/>
      <c r="K366" s="15"/>
      <c r="L366" s="14"/>
      <c r="M366" s="14"/>
      <c r="N366" s="14"/>
    </row>
    <row r="367" customFormat="false" ht="23.85" hidden="false" customHeight="false" outlineLevel="0" collapsed="false">
      <c r="A367" s="8" t="s">
        <v>1492</v>
      </c>
      <c r="B367" s="8" t="s">
        <v>43</v>
      </c>
      <c r="C367" s="8" t="s">
        <v>1493</v>
      </c>
      <c r="D367" s="8" t="s">
        <v>1494</v>
      </c>
      <c r="E367" s="8" t="s">
        <v>1495</v>
      </c>
      <c r="F367" s="8"/>
      <c r="G367" s="8" t="n">
        <v>15</v>
      </c>
      <c r="H367" s="13" t="n">
        <v>46346</v>
      </c>
      <c r="I367" s="8"/>
      <c r="J367" s="14"/>
      <c r="K367" s="15"/>
      <c r="L367" s="14"/>
      <c r="M367" s="14"/>
      <c r="N367" s="14"/>
    </row>
    <row r="368" customFormat="false" ht="23.85" hidden="false" customHeight="false" outlineLevel="0" collapsed="false">
      <c r="A368" s="8" t="s">
        <v>1496</v>
      </c>
      <c r="B368" s="8" t="s">
        <v>43</v>
      </c>
      <c r="C368" s="8" t="s">
        <v>190</v>
      </c>
      <c r="D368" s="8" t="s">
        <v>1497</v>
      </c>
      <c r="E368" s="8" t="s">
        <v>1498</v>
      </c>
      <c r="F368" s="8" t="s">
        <v>190</v>
      </c>
      <c r="G368" s="8" t="n">
        <v>15</v>
      </c>
      <c r="H368" s="13" t="n">
        <v>46346</v>
      </c>
      <c r="I368" s="8"/>
      <c r="J368" s="14"/>
      <c r="K368" s="15"/>
      <c r="L368" s="14"/>
      <c r="M368" s="14"/>
      <c r="N368" s="14"/>
    </row>
    <row r="369" customFormat="false" ht="35.05" hidden="false" customHeight="false" outlineLevel="0" collapsed="false">
      <c r="A369" s="8" t="s">
        <v>1499</v>
      </c>
      <c r="B369" s="8" t="s">
        <v>43</v>
      </c>
      <c r="C369" s="8" t="s">
        <v>1500</v>
      </c>
      <c r="D369" s="8" t="s">
        <v>1501</v>
      </c>
      <c r="E369" s="8" t="s">
        <v>1502</v>
      </c>
      <c r="F369" s="8"/>
      <c r="G369" s="8" t="n">
        <v>15</v>
      </c>
      <c r="H369" s="13" t="n">
        <v>46346</v>
      </c>
      <c r="I369" s="8"/>
      <c r="J369" s="14"/>
      <c r="K369" s="15"/>
      <c r="L369" s="14"/>
      <c r="M369" s="14"/>
      <c r="N369" s="14"/>
    </row>
    <row r="370" customFormat="false" ht="15" hidden="false" customHeight="false" outlineLevel="0" collapsed="false">
      <c r="A370" s="8" t="s">
        <v>1503</v>
      </c>
      <c r="B370" s="8" t="s">
        <v>43</v>
      </c>
      <c r="C370" s="8" t="s">
        <v>1504</v>
      </c>
      <c r="D370" s="8" t="s">
        <v>1505</v>
      </c>
      <c r="E370" s="8" t="s">
        <v>1506</v>
      </c>
      <c r="F370" s="8"/>
      <c r="G370" s="8" t="n">
        <v>15</v>
      </c>
      <c r="H370" s="13" t="n">
        <v>46346</v>
      </c>
      <c r="I370" s="8"/>
      <c r="J370" s="14"/>
      <c r="K370" s="15"/>
      <c r="L370" s="14"/>
      <c r="M370" s="14"/>
      <c r="N370" s="14"/>
    </row>
    <row r="371" customFormat="false" ht="23.85" hidden="false" customHeight="false" outlineLevel="0" collapsed="false">
      <c r="A371" s="8" t="s">
        <v>1507</v>
      </c>
      <c r="B371" s="8" t="s">
        <v>43</v>
      </c>
      <c r="C371" s="8" t="s">
        <v>1508</v>
      </c>
      <c r="D371" s="8" t="s">
        <v>1509</v>
      </c>
      <c r="E371" s="8" t="s">
        <v>1510</v>
      </c>
      <c r="F371" s="8"/>
      <c r="G371" s="8" t="n">
        <v>15</v>
      </c>
      <c r="H371" s="13" t="n">
        <v>46346</v>
      </c>
      <c r="I371" s="8" t="s">
        <v>23</v>
      </c>
      <c r="J371" s="14"/>
      <c r="K371" s="15"/>
      <c r="L371" s="14"/>
      <c r="M371" s="14"/>
      <c r="N371" s="14"/>
    </row>
    <row r="372" customFormat="false" ht="23.85" hidden="false" customHeight="false" outlineLevel="0" collapsed="false">
      <c r="A372" s="8" t="s">
        <v>1511</v>
      </c>
      <c r="B372" s="8" t="s">
        <v>43</v>
      </c>
      <c r="C372" s="8" t="s">
        <v>1512</v>
      </c>
      <c r="D372" s="8" t="s">
        <v>1513</v>
      </c>
      <c r="E372" s="8" t="s">
        <v>1514</v>
      </c>
      <c r="F372" s="8"/>
      <c r="G372" s="8" t="n">
        <v>15</v>
      </c>
      <c r="H372" s="13" t="n">
        <v>46346</v>
      </c>
      <c r="I372" s="8"/>
      <c r="J372" s="14"/>
      <c r="K372" s="15"/>
      <c r="L372" s="14"/>
      <c r="M372" s="14"/>
      <c r="N372" s="14"/>
    </row>
    <row r="373" customFormat="false" ht="23.85" hidden="false" customHeight="false" outlineLevel="0" collapsed="false">
      <c r="A373" s="8" t="s">
        <v>1515</v>
      </c>
      <c r="B373" s="8" t="s">
        <v>43</v>
      </c>
      <c r="C373" s="8" t="s">
        <v>1516</v>
      </c>
      <c r="D373" s="8" t="s">
        <v>1517</v>
      </c>
      <c r="E373" s="8" t="s">
        <v>1518</v>
      </c>
      <c r="F373" s="8"/>
      <c r="G373" s="8" t="n">
        <v>15</v>
      </c>
      <c r="H373" s="13" t="n">
        <v>46346</v>
      </c>
      <c r="I373" s="8"/>
      <c r="J373" s="14"/>
      <c r="K373" s="15"/>
      <c r="L373" s="14"/>
      <c r="M373" s="14"/>
      <c r="N373" s="14"/>
    </row>
    <row r="374" customFormat="false" ht="23.85" hidden="false" customHeight="false" outlineLevel="0" collapsed="false">
      <c r="A374" s="8" t="s">
        <v>1519</v>
      </c>
      <c r="B374" s="8" t="s">
        <v>43</v>
      </c>
      <c r="C374" s="8" t="s">
        <v>1520</v>
      </c>
      <c r="D374" s="8" t="s">
        <v>1521</v>
      </c>
      <c r="E374" s="8" t="s">
        <v>1522</v>
      </c>
      <c r="F374" s="8"/>
      <c r="G374" s="8" t="n">
        <v>20</v>
      </c>
      <c r="H374" s="13" t="n">
        <v>46353</v>
      </c>
      <c r="I374" s="8"/>
      <c r="J374" s="14"/>
      <c r="K374" s="15"/>
      <c r="L374" s="14"/>
      <c r="M374" s="14"/>
      <c r="N374" s="14"/>
    </row>
    <row r="375" customFormat="false" ht="23.85" hidden="false" customHeight="false" outlineLevel="0" collapsed="false">
      <c r="A375" s="8" t="s">
        <v>1523</v>
      </c>
      <c r="B375" s="8" t="s">
        <v>43</v>
      </c>
      <c r="C375" s="8" t="s">
        <v>1524</v>
      </c>
      <c r="D375" s="8" t="s">
        <v>1525</v>
      </c>
      <c r="E375" s="8" t="s">
        <v>1526</v>
      </c>
      <c r="F375" s="8"/>
      <c r="G375" s="8" t="n">
        <v>20</v>
      </c>
      <c r="H375" s="13" t="n">
        <v>46353</v>
      </c>
      <c r="I375" s="8"/>
      <c r="J375" s="14"/>
      <c r="K375" s="15"/>
      <c r="L375" s="14"/>
      <c r="M375" s="14"/>
      <c r="N375" s="14"/>
    </row>
    <row r="376" customFormat="false" ht="35.05" hidden="false" customHeight="false" outlineLevel="0" collapsed="false">
      <c r="A376" s="8" t="s">
        <v>1527</v>
      </c>
      <c r="B376" s="8" t="s">
        <v>43</v>
      </c>
      <c r="C376" s="8" t="s">
        <v>1528</v>
      </c>
      <c r="D376" s="8" t="s">
        <v>1529</v>
      </c>
      <c r="E376" s="8" t="s">
        <v>1530</v>
      </c>
      <c r="F376" s="8"/>
      <c r="G376" s="8" t="n">
        <v>20</v>
      </c>
      <c r="H376" s="13" t="n">
        <v>46353</v>
      </c>
      <c r="I376" s="8" t="s">
        <v>23</v>
      </c>
      <c r="J376" s="14"/>
      <c r="K376" s="15"/>
      <c r="L376" s="14"/>
      <c r="M376" s="14"/>
      <c r="N376" s="14"/>
    </row>
    <row r="377" customFormat="false" ht="23.85" hidden="false" customHeight="false" outlineLevel="0" collapsed="false">
      <c r="A377" s="8" t="s">
        <v>1531</v>
      </c>
      <c r="B377" s="8" t="s">
        <v>43</v>
      </c>
      <c r="C377" s="8" t="s">
        <v>292</v>
      </c>
      <c r="D377" s="8" t="s">
        <v>1532</v>
      </c>
      <c r="E377" s="8" t="s">
        <v>1533</v>
      </c>
      <c r="F377" s="8"/>
      <c r="G377" s="8" t="n">
        <v>20</v>
      </c>
      <c r="H377" s="13" t="n">
        <v>46353</v>
      </c>
      <c r="I377" s="8"/>
      <c r="J377" s="14"/>
      <c r="K377" s="15"/>
      <c r="L377" s="14"/>
      <c r="M377" s="14"/>
      <c r="N377" s="14"/>
    </row>
    <row r="378" customFormat="false" ht="23.85" hidden="false" customHeight="false" outlineLevel="0" collapsed="false">
      <c r="A378" s="8" t="s">
        <v>1534</v>
      </c>
      <c r="B378" s="8" t="s">
        <v>43</v>
      </c>
      <c r="C378" s="8" t="s">
        <v>1535</v>
      </c>
      <c r="D378" s="8" t="s">
        <v>1536</v>
      </c>
      <c r="E378" s="8" t="s">
        <v>1537</v>
      </c>
      <c r="F378" s="8"/>
      <c r="G378" s="8" t="n">
        <v>20</v>
      </c>
      <c r="H378" s="13" t="n">
        <v>46353</v>
      </c>
      <c r="I378" s="8"/>
      <c r="J378" s="14"/>
      <c r="K378" s="15"/>
      <c r="L378" s="14"/>
      <c r="M378" s="14"/>
      <c r="N378" s="14"/>
    </row>
    <row r="379" customFormat="false" ht="23.85" hidden="false" customHeight="false" outlineLevel="0" collapsed="false">
      <c r="A379" s="8" t="s">
        <v>1538</v>
      </c>
      <c r="B379" s="8" t="s">
        <v>43</v>
      </c>
      <c r="C379" s="8" t="s">
        <v>1539</v>
      </c>
      <c r="D379" s="8" t="s">
        <v>1540</v>
      </c>
      <c r="E379" s="8" t="s">
        <v>1541</v>
      </c>
      <c r="F379" s="8"/>
      <c r="G379" s="8" t="n">
        <v>20</v>
      </c>
      <c r="H379" s="13" t="n">
        <v>46353</v>
      </c>
      <c r="I379" s="8"/>
      <c r="J379" s="14"/>
      <c r="K379" s="15"/>
      <c r="L379" s="14"/>
      <c r="M379" s="14"/>
      <c r="N379" s="14"/>
    </row>
    <row r="380" customFormat="false" ht="23.85" hidden="false" customHeight="false" outlineLevel="0" collapsed="false">
      <c r="A380" s="8" t="s">
        <v>1542</v>
      </c>
      <c r="B380" s="8" t="s">
        <v>43</v>
      </c>
      <c r="C380" s="8" t="s">
        <v>1543</v>
      </c>
      <c r="D380" s="8" t="s">
        <v>1544</v>
      </c>
      <c r="E380" s="8" t="s">
        <v>1545</v>
      </c>
      <c r="F380" s="8" t="s">
        <v>1546</v>
      </c>
      <c r="G380" s="8" t="n">
        <v>20</v>
      </c>
      <c r="H380" s="13" t="n">
        <v>46353</v>
      </c>
      <c r="I380" s="8"/>
      <c r="J380" s="14"/>
      <c r="K380" s="15"/>
      <c r="L380" s="14"/>
      <c r="M380" s="14"/>
      <c r="N380" s="14"/>
    </row>
  </sheetData>
  <autoFilter ref="A1:N380"/>
  <conditionalFormatting sqref="J2:J380">
    <cfRule type="expression" priority="2" aboveAverage="0" equalAverage="0" bottom="0" percent="0" rank="0" text="" dxfId="5">
      <formula>$J2="Fail"</formula>
    </cfRule>
    <cfRule type="expression" priority="3" aboveAverage="0" equalAverage="0" bottom="0" percent="0" rank="0" text="" dxfId="6">
      <formula>$J2="Blocked"</formula>
    </cfRule>
    <cfRule type="expression" priority="4" aboveAverage="0" equalAverage="0" bottom="0" percent="0" rank="0" text="" dxfId="7">
      <formula>$J2="Pass"</formula>
    </cfRule>
    <cfRule type="expression" priority="5" aboveAverage="0" equalAverage="0" bottom="0" percent="0" rank="0" text="" dxfId="7">
      <formula>$J2="Pass with note"</formula>
    </cfRule>
  </conditionalFormatting>
  <dataValidations count="1">
    <dataValidation allowBlank="true" errorStyle="stop" operator="between" showDropDown="false" showErrorMessage="false" showInputMessage="false" sqref="J2:J380" type="list">
      <formula1>Lists!$A$1:$A$5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8"/>
    <col collapsed="false" customWidth="true" hidden="false" outlineLevel="0" max="4" min="4" style="0" width="10"/>
    <col collapsed="false" customWidth="true" hidden="false" outlineLevel="0" max="5" min="5" style="0" width="13"/>
    <col collapsed="false" customWidth="true" hidden="false" outlineLevel="0" max="6" min="6" style="0" width="34"/>
    <col collapsed="false" customWidth="true" hidden="false" outlineLevel="0" max="7" min="7" style="0" width="42"/>
    <col collapsed="false" customWidth="true" hidden="false" outlineLevel="0" max="8" min="8" style="0" width="26"/>
    <col collapsed="false" customWidth="true" hidden="false" outlineLevel="0" max="9" min="9" style="0" width="30"/>
    <col collapsed="false" customWidth="true" hidden="false" outlineLevel="0" max="10" min="10" style="0" width="8"/>
    <col collapsed="false" customWidth="true" hidden="false" outlineLevel="0" max="11" min="11" style="0" width="12"/>
    <col collapsed="false" customWidth="true" hidden="false" outlineLevel="0" max="12" min="12" style="0" width="16"/>
    <col collapsed="false" customWidth="true" hidden="false" outlineLevel="0" max="14" min="13" style="0" width="18"/>
    <col collapsed="false" customWidth="true" hidden="false" outlineLevel="0" max="15" min="15" style="0" width="16"/>
    <col collapsed="false" customWidth="true" hidden="false" outlineLevel="0" max="16" min="16" style="0" width="8"/>
    <col collapsed="false" customWidth="true" hidden="false" outlineLevel="0" max="17" min="17" style="0" width="12"/>
    <col collapsed="false" customWidth="true" hidden="false" outlineLevel="0" max="19" min="18" style="0" width="11"/>
    <col collapsed="false" customWidth="true" hidden="false" outlineLevel="0" max="21" min="20" style="0" width="10"/>
    <col collapsed="false" customWidth="true" hidden="false" outlineLevel="0" max="22" min="22" style="0" width="9"/>
    <col collapsed="false" customWidth="true" hidden="false" outlineLevel="0" max="23" min="23" style="0" width="24"/>
  </cols>
  <sheetData>
    <row r="1" customFormat="false" ht="19.7" hidden="false" customHeight="false" outlineLevel="0" collapsed="false">
      <c r="A1" s="1" t="s">
        <v>7</v>
      </c>
    </row>
    <row r="2" customFormat="false" ht="15" hidden="false" customHeight="false" outlineLevel="0" collapsed="false">
      <c r="A2" s="2" t="s">
        <v>1547</v>
      </c>
    </row>
    <row r="3" customFormat="false" ht="30" hidden="false" customHeight="true" outlineLevel="0" collapsed="false">
      <c r="A3" s="7" t="s">
        <v>1548</v>
      </c>
      <c r="B3" s="7" t="s">
        <v>1549</v>
      </c>
      <c r="C3" s="7" t="s">
        <v>1550</v>
      </c>
      <c r="D3" s="7" t="s">
        <v>1551</v>
      </c>
      <c r="E3" s="7" t="s">
        <v>95</v>
      </c>
      <c r="F3" s="7" t="s">
        <v>1552</v>
      </c>
      <c r="G3" s="7" t="s">
        <v>1553</v>
      </c>
      <c r="H3" s="7" t="s">
        <v>1554</v>
      </c>
      <c r="I3" s="7" t="s">
        <v>1555</v>
      </c>
      <c r="J3" s="7" t="s">
        <v>19</v>
      </c>
      <c r="K3" s="7" t="s">
        <v>1556</v>
      </c>
      <c r="L3" s="7" t="s">
        <v>105</v>
      </c>
      <c r="M3" s="7" t="s">
        <v>1557</v>
      </c>
      <c r="N3" s="7" t="s">
        <v>1558</v>
      </c>
      <c r="O3" s="7" t="s">
        <v>1559</v>
      </c>
      <c r="P3" s="7" t="s">
        <v>1560</v>
      </c>
      <c r="Q3" s="7" t="s">
        <v>1561</v>
      </c>
      <c r="R3" s="7" t="s">
        <v>1562</v>
      </c>
      <c r="S3" s="7" t="s">
        <v>1563</v>
      </c>
      <c r="T3" s="7" t="s">
        <v>1564</v>
      </c>
      <c r="U3" s="7" t="s">
        <v>1565</v>
      </c>
      <c r="V3" s="7" t="s">
        <v>1566</v>
      </c>
      <c r="W3" s="7" t="s">
        <v>107</v>
      </c>
    </row>
    <row r="4" customFormat="false" ht="57.45" hidden="false" customHeight="false" outlineLevel="0" collapsed="false">
      <c r="A4" s="16" t="s">
        <v>1567</v>
      </c>
      <c r="B4" s="17" t="n">
        <v>46336</v>
      </c>
      <c r="C4" s="16" t="s">
        <v>1568</v>
      </c>
      <c r="D4" s="16" t="s">
        <v>549</v>
      </c>
      <c r="E4" s="16" t="s">
        <v>1569</v>
      </c>
      <c r="F4" s="16" t="s">
        <v>1570</v>
      </c>
      <c r="G4" s="16" t="s">
        <v>1571</v>
      </c>
      <c r="H4" s="16" t="s">
        <v>1572</v>
      </c>
      <c r="I4" s="16" t="s">
        <v>1573</v>
      </c>
      <c r="J4" s="16" t="s">
        <v>53</v>
      </c>
      <c r="K4" s="16" t="s">
        <v>1574</v>
      </c>
      <c r="L4" s="16" t="s">
        <v>1575</v>
      </c>
      <c r="M4" s="16" t="s">
        <v>1576</v>
      </c>
      <c r="N4" s="16" t="s">
        <v>1577</v>
      </c>
      <c r="O4" s="16" t="s">
        <v>48</v>
      </c>
      <c r="P4" s="16" t="s">
        <v>1578</v>
      </c>
      <c r="Q4" s="16" t="s">
        <v>1579</v>
      </c>
      <c r="R4" s="17" t="n">
        <v>46337</v>
      </c>
      <c r="S4" s="17" t="n">
        <v>46338</v>
      </c>
      <c r="T4" s="16" t="s">
        <v>1580</v>
      </c>
      <c r="U4" s="16" t="s">
        <v>1581</v>
      </c>
      <c r="V4" s="18" t="n">
        <f aca="false">IF(AND(R4&lt;&gt;"",S4&lt;&gt;""),NETWORKDAYS(R4,S4)-1,"")</f>
        <v>1</v>
      </c>
      <c r="W4" s="16" t="s">
        <v>1582</v>
      </c>
    </row>
    <row r="5" customFormat="false" ht="15" hidden="false" customHeight="false" outlineLevel="0" collapsed="false">
      <c r="A5" s="14"/>
      <c r="B5" s="15"/>
      <c r="C5" s="14"/>
      <c r="D5" s="14"/>
      <c r="E5" s="14"/>
      <c r="F5" s="14"/>
      <c r="G5" s="14"/>
      <c r="H5" s="14"/>
      <c r="I5" s="14"/>
      <c r="J5" s="14"/>
      <c r="K5" s="14"/>
      <c r="L5" s="14"/>
      <c r="M5" s="14"/>
      <c r="N5" s="14"/>
      <c r="O5" s="14"/>
      <c r="P5" s="14"/>
      <c r="Q5" s="14"/>
      <c r="R5" s="15"/>
      <c r="S5" s="15"/>
      <c r="T5" s="14"/>
      <c r="U5" s="14"/>
      <c r="V5" s="8" t="str">
        <f aca="false">IF(AND(R5&lt;&gt;"",S5&lt;&gt;""),NETWORKDAYS(R5,S5)-1,"")</f>
        <v/>
      </c>
      <c r="W5" s="14"/>
    </row>
    <row r="6" customFormat="false" ht="15" hidden="false" customHeight="false" outlineLevel="0" collapsed="false">
      <c r="A6" s="14"/>
      <c r="B6" s="15"/>
      <c r="C6" s="14"/>
      <c r="D6" s="14"/>
      <c r="E6" s="14"/>
      <c r="F6" s="14"/>
      <c r="G6" s="14"/>
      <c r="H6" s="14"/>
      <c r="I6" s="14"/>
      <c r="J6" s="14"/>
      <c r="K6" s="14"/>
      <c r="L6" s="14"/>
      <c r="M6" s="14"/>
      <c r="N6" s="14"/>
      <c r="O6" s="14"/>
      <c r="P6" s="14"/>
      <c r="Q6" s="14"/>
      <c r="R6" s="15"/>
      <c r="S6" s="15"/>
      <c r="T6" s="14"/>
      <c r="U6" s="14"/>
      <c r="V6" s="8" t="str">
        <f aca="false">IF(AND(R6&lt;&gt;"",S6&lt;&gt;""),NETWORKDAYS(R6,S6)-1,"")</f>
        <v/>
      </c>
      <c r="W6" s="14"/>
    </row>
    <row r="7" customFormat="false" ht="15" hidden="false" customHeight="false" outlineLevel="0" collapsed="false">
      <c r="A7" s="14"/>
      <c r="B7" s="15"/>
      <c r="C7" s="14"/>
      <c r="D7" s="14"/>
      <c r="E7" s="14"/>
      <c r="F7" s="14"/>
      <c r="G7" s="14"/>
      <c r="H7" s="14"/>
      <c r="I7" s="14"/>
      <c r="J7" s="14"/>
      <c r="K7" s="14"/>
      <c r="L7" s="14"/>
      <c r="M7" s="14"/>
      <c r="N7" s="14"/>
      <c r="O7" s="14"/>
      <c r="P7" s="14"/>
      <c r="Q7" s="14"/>
      <c r="R7" s="15"/>
      <c r="S7" s="15"/>
      <c r="T7" s="14"/>
      <c r="U7" s="14"/>
      <c r="V7" s="8" t="str">
        <f aca="false">IF(AND(R7&lt;&gt;"",S7&lt;&gt;""),NETWORKDAYS(R7,S7)-1,"")</f>
        <v/>
      </c>
      <c r="W7" s="14"/>
    </row>
    <row r="8" customFormat="false" ht="15" hidden="false" customHeight="false" outlineLevel="0" collapsed="false">
      <c r="A8" s="14"/>
      <c r="B8" s="15"/>
      <c r="C8" s="14"/>
      <c r="D8" s="14"/>
      <c r="E8" s="14"/>
      <c r="F8" s="14"/>
      <c r="G8" s="14"/>
      <c r="H8" s="14"/>
      <c r="I8" s="14"/>
      <c r="J8" s="14"/>
      <c r="K8" s="14"/>
      <c r="L8" s="14"/>
      <c r="M8" s="14"/>
      <c r="N8" s="14"/>
      <c r="O8" s="14"/>
      <c r="P8" s="14"/>
      <c r="Q8" s="14"/>
      <c r="R8" s="15"/>
      <c r="S8" s="15"/>
      <c r="T8" s="14"/>
      <c r="U8" s="14"/>
      <c r="V8" s="8" t="str">
        <f aca="false">IF(AND(R8&lt;&gt;"",S8&lt;&gt;""),NETWORKDAYS(R8,S8)-1,"")</f>
        <v/>
      </c>
      <c r="W8" s="14"/>
    </row>
    <row r="9" customFormat="false" ht="15" hidden="false" customHeight="false" outlineLevel="0" collapsed="false">
      <c r="A9" s="14"/>
      <c r="B9" s="15"/>
      <c r="C9" s="14"/>
      <c r="D9" s="14"/>
      <c r="E9" s="14"/>
      <c r="F9" s="14"/>
      <c r="G9" s="14"/>
      <c r="H9" s="14"/>
      <c r="I9" s="14"/>
      <c r="J9" s="14"/>
      <c r="K9" s="14"/>
      <c r="L9" s="14"/>
      <c r="M9" s="14"/>
      <c r="N9" s="14"/>
      <c r="O9" s="14"/>
      <c r="P9" s="14"/>
      <c r="Q9" s="14"/>
      <c r="R9" s="15"/>
      <c r="S9" s="15"/>
      <c r="T9" s="14"/>
      <c r="U9" s="14"/>
      <c r="V9" s="8" t="str">
        <f aca="false">IF(AND(R9&lt;&gt;"",S9&lt;&gt;""),NETWORKDAYS(R9,S9)-1,"")</f>
        <v/>
      </c>
      <c r="W9" s="14"/>
    </row>
    <row r="10" customFormat="false" ht="15" hidden="false" customHeight="false" outlineLevel="0" collapsed="false">
      <c r="A10" s="14"/>
      <c r="B10" s="15"/>
      <c r="C10" s="14"/>
      <c r="D10" s="14"/>
      <c r="E10" s="14"/>
      <c r="F10" s="14"/>
      <c r="G10" s="14"/>
      <c r="H10" s="14"/>
      <c r="I10" s="14"/>
      <c r="J10" s="14"/>
      <c r="K10" s="14"/>
      <c r="L10" s="14"/>
      <c r="M10" s="14"/>
      <c r="N10" s="14"/>
      <c r="O10" s="14"/>
      <c r="P10" s="14"/>
      <c r="Q10" s="14"/>
      <c r="R10" s="15"/>
      <c r="S10" s="15"/>
      <c r="T10" s="14"/>
      <c r="U10" s="14"/>
      <c r="V10" s="8" t="str">
        <f aca="false">IF(AND(R10&lt;&gt;"",S10&lt;&gt;""),NETWORKDAYS(R10,S10)-1,"")</f>
        <v/>
      </c>
      <c r="W10" s="14"/>
    </row>
    <row r="11" customFormat="false" ht="15" hidden="false" customHeight="false" outlineLevel="0" collapsed="false">
      <c r="A11" s="14"/>
      <c r="B11" s="15"/>
      <c r="C11" s="14"/>
      <c r="D11" s="14"/>
      <c r="E11" s="14"/>
      <c r="F11" s="14"/>
      <c r="G11" s="14"/>
      <c r="H11" s="14"/>
      <c r="I11" s="14"/>
      <c r="J11" s="14"/>
      <c r="K11" s="14"/>
      <c r="L11" s="14"/>
      <c r="M11" s="14"/>
      <c r="N11" s="14"/>
      <c r="O11" s="14"/>
      <c r="P11" s="14"/>
      <c r="Q11" s="14"/>
      <c r="R11" s="15"/>
      <c r="S11" s="15"/>
      <c r="T11" s="14"/>
      <c r="U11" s="14"/>
      <c r="V11" s="8" t="str">
        <f aca="false">IF(AND(R11&lt;&gt;"",S11&lt;&gt;""),NETWORKDAYS(R11,S11)-1,"")</f>
        <v/>
      </c>
      <c r="W11" s="14"/>
    </row>
    <row r="12" customFormat="false" ht="15" hidden="false" customHeight="false" outlineLevel="0" collapsed="false">
      <c r="A12" s="14"/>
      <c r="B12" s="15"/>
      <c r="C12" s="14"/>
      <c r="D12" s="14"/>
      <c r="E12" s="14"/>
      <c r="F12" s="14"/>
      <c r="G12" s="14"/>
      <c r="H12" s="14"/>
      <c r="I12" s="14"/>
      <c r="J12" s="14"/>
      <c r="K12" s="14"/>
      <c r="L12" s="14"/>
      <c r="M12" s="14"/>
      <c r="N12" s="14"/>
      <c r="O12" s="14"/>
      <c r="P12" s="14"/>
      <c r="Q12" s="14"/>
      <c r="R12" s="15"/>
      <c r="S12" s="15"/>
      <c r="T12" s="14"/>
      <c r="U12" s="14"/>
      <c r="V12" s="8" t="str">
        <f aca="false">IF(AND(R12&lt;&gt;"",S12&lt;&gt;""),NETWORKDAYS(R12,S12)-1,"")</f>
        <v/>
      </c>
      <c r="W12" s="14"/>
    </row>
    <row r="13" customFormat="false" ht="15" hidden="false" customHeight="false" outlineLevel="0" collapsed="false">
      <c r="A13" s="14"/>
      <c r="B13" s="15"/>
      <c r="C13" s="14"/>
      <c r="D13" s="14"/>
      <c r="E13" s="14"/>
      <c r="F13" s="14"/>
      <c r="G13" s="14"/>
      <c r="H13" s="14"/>
      <c r="I13" s="14"/>
      <c r="J13" s="14"/>
      <c r="K13" s="14"/>
      <c r="L13" s="14"/>
      <c r="M13" s="14"/>
      <c r="N13" s="14"/>
      <c r="O13" s="14"/>
      <c r="P13" s="14"/>
      <c r="Q13" s="14"/>
      <c r="R13" s="15"/>
      <c r="S13" s="15"/>
      <c r="T13" s="14"/>
      <c r="U13" s="14"/>
      <c r="V13" s="8" t="str">
        <f aca="false">IF(AND(R13&lt;&gt;"",S13&lt;&gt;""),NETWORKDAYS(R13,S13)-1,"")</f>
        <v/>
      </c>
      <c r="W13" s="14"/>
    </row>
    <row r="14" customFormat="false" ht="15" hidden="false" customHeight="false" outlineLevel="0" collapsed="false">
      <c r="A14" s="14"/>
      <c r="B14" s="15"/>
      <c r="C14" s="14"/>
      <c r="D14" s="14"/>
      <c r="E14" s="14"/>
      <c r="F14" s="14"/>
      <c r="G14" s="14"/>
      <c r="H14" s="14"/>
      <c r="I14" s="14"/>
      <c r="J14" s="14"/>
      <c r="K14" s="14"/>
      <c r="L14" s="14"/>
      <c r="M14" s="14"/>
      <c r="N14" s="14"/>
      <c r="O14" s="14"/>
      <c r="P14" s="14"/>
      <c r="Q14" s="14"/>
      <c r="R14" s="15"/>
      <c r="S14" s="15"/>
      <c r="T14" s="14"/>
      <c r="U14" s="14"/>
      <c r="V14" s="8" t="str">
        <f aca="false">IF(AND(R14&lt;&gt;"",S14&lt;&gt;""),NETWORKDAYS(R14,S14)-1,"")</f>
        <v/>
      </c>
      <c r="W14" s="14"/>
    </row>
    <row r="15" customFormat="false" ht="15" hidden="false" customHeight="false" outlineLevel="0" collapsed="false">
      <c r="A15" s="14"/>
      <c r="B15" s="15"/>
      <c r="C15" s="14"/>
      <c r="D15" s="14"/>
      <c r="E15" s="14"/>
      <c r="F15" s="14"/>
      <c r="G15" s="14"/>
      <c r="H15" s="14"/>
      <c r="I15" s="14"/>
      <c r="J15" s="14"/>
      <c r="K15" s="14"/>
      <c r="L15" s="14"/>
      <c r="M15" s="14"/>
      <c r="N15" s="14"/>
      <c r="O15" s="14"/>
      <c r="P15" s="14"/>
      <c r="Q15" s="14"/>
      <c r="R15" s="15"/>
      <c r="S15" s="15"/>
      <c r="T15" s="14"/>
      <c r="U15" s="14"/>
      <c r="V15" s="8" t="str">
        <f aca="false">IF(AND(R15&lt;&gt;"",S15&lt;&gt;""),NETWORKDAYS(R15,S15)-1,"")</f>
        <v/>
      </c>
      <c r="W15" s="14"/>
    </row>
    <row r="16" customFormat="false" ht="15" hidden="false" customHeight="false" outlineLevel="0" collapsed="false">
      <c r="A16" s="14"/>
      <c r="B16" s="15"/>
      <c r="C16" s="14"/>
      <c r="D16" s="14"/>
      <c r="E16" s="14"/>
      <c r="F16" s="14"/>
      <c r="G16" s="14"/>
      <c r="H16" s="14"/>
      <c r="I16" s="14"/>
      <c r="J16" s="14"/>
      <c r="K16" s="14"/>
      <c r="L16" s="14"/>
      <c r="M16" s="14"/>
      <c r="N16" s="14"/>
      <c r="O16" s="14"/>
      <c r="P16" s="14"/>
      <c r="Q16" s="14"/>
      <c r="R16" s="15"/>
      <c r="S16" s="15"/>
      <c r="T16" s="14"/>
      <c r="U16" s="14"/>
      <c r="V16" s="8" t="str">
        <f aca="false">IF(AND(R16&lt;&gt;"",S16&lt;&gt;""),NETWORKDAYS(R16,S16)-1,"")</f>
        <v/>
      </c>
      <c r="W16" s="14"/>
    </row>
    <row r="17" customFormat="false" ht="15" hidden="false" customHeight="false" outlineLevel="0" collapsed="false">
      <c r="A17" s="14"/>
      <c r="B17" s="15"/>
      <c r="C17" s="14"/>
      <c r="D17" s="14"/>
      <c r="E17" s="14"/>
      <c r="F17" s="14"/>
      <c r="G17" s="14"/>
      <c r="H17" s="14"/>
      <c r="I17" s="14"/>
      <c r="J17" s="14"/>
      <c r="K17" s="14"/>
      <c r="L17" s="14"/>
      <c r="M17" s="14"/>
      <c r="N17" s="14"/>
      <c r="O17" s="14"/>
      <c r="P17" s="14"/>
      <c r="Q17" s="14"/>
      <c r="R17" s="15"/>
      <c r="S17" s="15"/>
      <c r="T17" s="14"/>
      <c r="U17" s="14"/>
      <c r="V17" s="8" t="str">
        <f aca="false">IF(AND(R17&lt;&gt;"",S17&lt;&gt;""),NETWORKDAYS(R17,S17)-1,"")</f>
        <v/>
      </c>
      <c r="W17" s="14"/>
    </row>
    <row r="18" customFormat="false" ht="15" hidden="false" customHeight="false" outlineLevel="0" collapsed="false">
      <c r="A18" s="14"/>
      <c r="B18" s="15"/>
      <c r="C18" s="14"/>
      <c r="D18" s="14"/>
      <c r="E18" s="14"/>
      <c r="F18" s="14"/>
      <c r="G18" s="14"/>
      <c r="H18" s="14"/>
      <c r="I18" s="14"/>
      <c r="J18" s="14"/>
      <c r="K18" s="14"/>
      <c r="L18" s="14"/>
      <c r="M18" s="14"/>
      <c r="N18" s="14"/>
      <c r="O18" s="14"/>
      <c r="P18" s="14"/>
      <c r="Q18" s="14"/>
      <c r="R18" s="15"/>
      <c r="S18" s="15"/>
      <c r="T18" s="14"/>
      <c r="U18" s="14"/>
      <c r="V18" s="8" t="str">
        <f aca="false">IF(AND(R18&lt;&gt;"",S18&lt;&gt;""),NETWORKDAYS(R18,S18)-1,"")</f>
        <v/>
      </c>
      <c r="W18" s="14"/>
    </row>
    <row r="19" customFormat="false" ht="15" hidden="false" customHeight="false" outlineLevel="0" collapsed="false">
      <c r="A19" s="14"/>
      <c r="B19" s="15"/>
      <c r="C19" s="14"/>
      <c r="D19" s="14"/>
      <c r="E19" s="14"/>
      <c r="F19" s="14"/>
      <c r="G19" s="14"/>
      <c r="H19" s="14"/>
      <c r="I19" s="14"/>
      <c r="J19" s="14"/>
      <c r="K19" s="14"/>
      <c r="L19" s="14"/>
      <c r="M19" s="14"/>
      <c r="N19" s="14"/>
      <c r="O19" s="14"/>
      <c r="P19" s="14"/>
      <c r="Q19" s="14"/>
      <c r="R19" s="15"/>
      <c r="S19" s="15"/>
      <c r="T19" s="14"/>
      <c r="U19" s="14"/>
      <c r="V19" s="8" t="str">
        <f aca="false">IF(AND(R19&lt;&gt;"",S19&lt;&gt;""),NETWORKDAYS(R19,S19)-1,"")</f>
        <v/>
      </c>
      <c r="W19" s="14"/>
    </row>
    <row r="20" customFormat="false" ht="15" hidden="false" customHeight="false" outlineLevel="0" collapsed="false">
      <c r="A20" s="14"/>
      <c r="B20" s="15"/>
      <c r="C20" s="14"/>
      <c r="D20" s="14"/>
      <c r="E20" s="14"/>
      <c r="F20" s="14"/>
      <c r="G20" s="14"/>
      <c r="H20" s="14"/>
      <c r="I20" s="14"/>
      <c r="J20" s="14"/>
      <c r="K20" s="14"/>
      <c r="L20" s="14"/>
      <c r="M20" s="14"/>
      <c r="N20" s="14"/>
      <c r="O20" s="14"/>
      <c r="P20" s="14"/>
      <c r="Q20" s="14"/>
      <c r="R20" s="15"/>
      <c r="S20" s="15"/>
      <c r="T20" s="14"/>
      <c r="U20" s="14"/>
      <c r="V20" s="8" t="str">
        <f aca="false">IF(AND(R20&lt;&gt;"",S20&lt;&gt;""),NETWORKDAYS(R20,S20)-1,"")</f>
        <v/>
      </c>
      <c r="W20" s="14"/>
    </row>
    <row r="21" customFormat="false" ht="15" hidden="false" customHeight="false" outlineLevel="0" collapsed="false">
      <c r="A21" s="14"/>
      <c r="B21" s="15"/>
      <c r="C21" s="14"/>
      <c r="D21" s="14"/>
      <c r="E21" s="14"/>
      <c r="F21" s="14"/>
      <c r="G21" s="14"/>
      <c r="H21" s="14"/>
      <c r="I21" s="14"/>
      <c r="J21" s="14"/>
      <c r="K21" s="14"/>
      <c r="L21" s="14"/>
      <c r="M21" s="14"/>
      <c r="N21" s="14"/>
      <c r="O21" s="14"/>
      <c r="P21" s="14"/>
      <c r="Q21" s="14"/>
      <c r="R21" s="15"/>
      <c r="S21" s="15"/>
      <c r="T21" s="14"/>
      <c r="U21" s="14"/>
      <c r="V21" s="8" t="str">
        <f aca="false">IF(AND(R21&lt;&gt;"",S21&lt;&gt;""),NETWORKDAYS(R21,S21)-1,"")</f>
        <v/>
      </c>
      <c r="W21" s="14"/>
    </row>
    <row r="22" customFormat="false" ht="15" hidden="false" customHeight="false" outlineLevel="0" collapsed="false">
      <c r="A22" s="14"/>
      <c r="B22" s="15"/>
      <c r="C22" s="14"/>
      <c r="D22" s="14"/>
      <c r="E22" s="14"/>
      <c r="F22" s="14"/>
      <c r="G22" s="14"/>
      <c r="H22" s="14"/>
      <c r="I22" s="14"/>
      <c r="J22" s="14"/>
      <c r="K22" s="14"/>
      <c r="L22" s="14"/>
      <c r="M22" s="14"/>
      <c r="N22" s="14"/>
      <c r="O22" s="14"/>
      <c r="P22" s="14"/>
      <c r="Q22" s="14"/>
      <c r="R22" s="15"/>
      <c r="S22" s="15"/>
      <c r="T22" s="14"/>
      <c r="U22" s="14"/>
      <c r="V22" s="8" t="str">
        <f aca="false">IF(AND(R22&lt;&gt;"",S22&lt;&gt;""),NETWORKDAYS(R22,S22)-1,"")</f>
        <v/>
      </c>
      <c r="W22" s="14"/>
    </row>
    <row r="23" customFormat="false" ht="15" hidden="false" customHeight="false" outlineLevel="0" collapsed="false">
      <c r="A23" s="14"/>
      <c r="B23" s="15"/>
      <c r="C23" s="14"/>
      <c r="D23" s="14"/>
      <c r="E23" s="14"/>
      <c r="F23" s="14"/>
      <c r="G23" s="14"/>
      <c r="H23" s="14"/>
      <c r="I23" s="14"/>
      <c r="J23" s="14"/>
      <c r="K23" s="14"/>
      <c r="L23" s="14"/>
      <c r="M23" s="14"/>
      <c r="N23" s="14"/>
      <c r="O23" s="14"/>
      <c r="P23" s="14"/>
      <c r="Q23" s="14"/>
      <c r="R23" s="15"/>
      <c r="S23" s="15"/>
      <c r="T23" s="14"/>
      <c r="U23" s="14"/>
      <c r="V23" s="8" t="str">
        <f aca="false">IF(AND(R23&lt;&gt;"",S23&lt;&gt;""),NETWORKDAYS(R23,S23)-1,"")</f>
        <v/>
      </c>
      <c r="W23" s="14"/>
    </row>
    <row r="24" customFormat="false" ht="15" hidden="false" customHeight="false" outlineLevel="0" collapsed="false">
      <c r="A24" s="14"/>
      <c r="B24" s="15"/>
      <c r="C24" s="14"/>
      <c r="D24" s="14"/>
      <c r="E24" s="14"/>
      <c r="F24" s="14"/>
      <c r="G24" s="14"/>
      <c r="H24" s="14"/>
      <c r="I24" s="14"/>
      <c r="J24" s="14"/>
      <c r="K24" s="14"/>
      <c r="L24" s="14"/>
      <c r="M24" s="14"/>
      <c r="N24" s="14"/>
      <c r="O24" s="14"/>
      <c r="P24" s="14"/>
      <c r="Q24" s="14"/>
      <c r="R24" s="15"/>
      <c r="S24" s="15"/>
      <c r="T24" s="14"/>
      <c r="U24" s="14"/>
      <c r="V24" s="8" t="str">
        <f aca="false">IF(AND(R24&lt;&gt;"",S24&lt;&gt;""),NETWORKDAYS(R24,S24)-1,"")</f>
        <v/>
      </c>
      <c r="W24" s="14"/>
    </row>
    <row r="25" customFormat="false" ht="15" hidden="false" customHeight="false" outlineLevel="0" collapsed="false">
      <c r="A25" s="14"/>
      <c r="B25" s="15"/>
      <c r="C25" s="14"/>
      <c r="D25" s="14"/>
      <c r="E25" s="14"/>
      <c r="F25" s="14"/>
      <c r="G25" s="14"/>
      <c r="H25" s="14"/>
      <c r="I25" s="14"/>
      <c r="J25" s="14"/>
      <c r="K25" s="14"/>
      <c r="L25" s="14"/>
      <c r="M25" s="14"/>
      <c r="N25" s="14"/>
      <c r="O25" s="14"/>
      <c r="P25" s="14"/>
      <c r="Q25" s="14"/>
      <c r="R25" s="15"/>
      <c r="S25" s="15"/>
      <c r="T25" s="14"/>
      <c r="U25" s="14"/>
      <c r="V25" s="8" t="str">
        <f aca="false">IF(AND(R25&lt;&gt;"",S25&lt;&gt;""),NETWORKDAYS(R25,S25)-1,"")</f>
        <v/>
      </c>
      <c r="W25" s="14"/>
    </row>
    <row r="26" customFormat="false" ht="15" hidden="false" customHeight="false" outlineLevel="0" collapsed="false">
      <c r="A26" s="14"/>
      <c r="B26" s="15"/>
      <c r="C26" s="14"/>
      <c r="D26" s="14"/>
      <c r="E26" s="14"/>
      <c r="F26" s="14"/>
      <c r="G26" s="14"/>
      <c r="H26" s="14"/>
      <c r="I26" s="14"/>
      <c r="J26" s="14"/>
      <c r="K26" s="14"/>
      <c r="L26" s="14"/>
      <c r="M26" s="14"/>
      <c r="N26" s="14"/>
      <c r="O26" s="14"/>
      <c r="P26" s="14"/>
      <c r="Q26" s="14"/>
      <c r="R26" s="15"/>
      <c r="S26" s="15"/>
      <c r="T26" s="14"/>
      <c r="U26" s="14"/>
      <c r="V26" s="8" t="str">
        <f aca="false">IF(AND(R26&lt;&gt;"",S26&lt;&gt;""),NETWORKDAYS(R26,S26)-1,"")</f>
        <v/>
      </c>
      <c r="W26" s="14"/>
    </row>
    <row r="27" customFormat="false" ht="15" hidden="false" customHeight="false" outlineLevel="0" collapsed="false">
      <c r="A27" s="14"/>
      <c r="B27" s="15"/>
      <c r="C27" s="14"/>
      <c r="D27" s="14"/>
      <c r="E27" s="14"/>
      <c r="F27" s="14"/>
      <c r="G27" s="14"/>
      <c r="H27" s="14"/>
      <c r="I27" s="14"/>
      <c r="J27" s="14"/>
      <c r="K27" s="14"/>
      <c r="L27" s="14"/>
      <c r="M27" s="14"/>
      <c r="N27" s="14"/>
      <c r="O27" s="14"/>
      <c r="P27" s="14"/>
      <c r="Q27" s="14"/>
      <c r="R27" s="15"/>
      <c r="S27" s="15"/>
      <c r="T27" s="14"/>
      <c r="U27" s="14"/>
      <c r="V27" s="8" t="str">
        <f aca="false">IF(AND(R27&lt;&gt;"",S27&lt;&gt;""),NETWORKDAYS(R27,S27)-1,"")</f>
        <v/>
      </c>
      <c r="W27" s="14"/>
    </row>
    <row r="28" customFormat="false" ht="15" hidden="false" customHeight="false" outlineLevel="0" collapsed="false">
      <c r="A28" s="14"/>
      <c r="B28" s="15"/>
      <c r="C28" s="14"/>
      <c r="D28" s="14"/>
      <c r="E28" s="14"/>
      <c r="F28" s="14"/>
      <c r="G28" s="14"/>
      <c r="H28" s="14"/>
      <c r="I28" s="14"/>
      <c r="J28" s="14"/>
      <c r="K28" s="14"/>
      <c r="L28" s="14"/>
      <c r="M28" s="14"/>
      <c r="N28" s="14"/>
      <c r="O28" s="14"/>
      <c r="P28" s="14"/>
      <c r="Q28" s="14"/>
      <c r="R28" s="15"/>
      <c r="S28" s="15"/>
      <c r="T28" s="14"/>
      <c r="U28" s="14"/>
      <c r="V28" s="8" t="str">
        <f aca="false">IF(AND(R28&lt;&gt;"",S28&lt;&gt;""),NETWORKDAYS(R28,S28)-1,"")</f>
        <v/>
      </c>
      <c r="W28" s="14"/>
    </row>
    <row r="29" customFormat="false" ht="15" hidden="false" customHeight="false" outlineLevel="0" collapsed="false">
      <c r="A29" s="14"/>
      <c r="B29" s="15"/>
      <c r="C29" s="14"/>
      <c r="D29" s="14"/>
      <c r="E29" s="14"/>
      <c r="F29" s="14"/>
      <c r="G29" s="14"/>
      <c r="H29" s="14"/>
      <c r="I29" s="14"/>
      <c r="J29" s="14"/>
      <c r="K29" s="14"/>
      <c r="L29" s="14"/>
      <c r="M29" s="14"/>
      <c r="N29" s="14"/>
      <c r="O29" s="14"/>
      <c r="P29" s="14"/>
      <c r="Q29" s="14"/>
      <c r="R29" s="15"/>
      <c r="S29" s="15"/>
      <c r="T29" s="14"/>
      <c r="U29" s="14"/>
      <c r="V29" s="8" t="str">
        <f aca="false">IF(AND(R29&lt;&gt;"",S29&lt;&gt;""),NETWORKDAYS(R29,S29)-1,"")</f>
        <v/>
      </c>
      <c r="W29" s="14"/>
    </row>
    <row r="30" customFormat="false" ht="15" hidden="false" customHeight="false" outlineLevel="0" collapsed="false">
      <c r="A30" s="14"/>
      <c r="B30" s="15"/>
      <c r="C30" s="14"/>
      <c r="D30" s="14"/>
      <c r="E30" s="14"/>
      <c r="F30" s="14"/>
      <c r="G30" s="14"/>
      <c r="H30" s="14"/>
      <c r="I30" s="14"/>
      <c r="J30" s="14"/>
      <c r="K30" s="14"/>
      <c r="L30" s="14"/>
      <c r="M30" s="14"/>
      <c r="N30" s="14"/>
      <c r="O30" s="14"/>
      <c r="P30" s="14"/>
      <c r="Q30" s="14"/>
      <c r="R30" s="15"/>
      <c r="S30" s="15"/>
      <c r="T30" s="14"/>
      <c r="U30" s="14"/>
      <c r="V30" s="8" t="str">
        <f aca="false">IF(AND(R30&lt;&gt;"",S30&lt;&gt;""),NETWORKDAYS(R30,S30)-1,"")</f>
        <v/>
      </c>
      <c r="W30" s="14"/>
    </row>
    <row r="31" customFormat="false" ht="15" hidden="false" customHeight="false" outlineLevel="0" collapsed="false">
      <c r="A31" s="14"/>
      <c r="B31" s="15"/>
      <c r="C31" s="14"/>
      <c r="D31" s="14"/>
      <c r="E31" s="14"/>
      <c r="F31" s="14"/>
      <c r="G31" s="14"/>
      <c r="H31" s="14"/>
      <c r="I31" s="14"/>
      <c r="J31" s="14"/>
      <c r="K31" s="14"/>
      <c r="L31" s="14"/>
      <c r="M31" s="14"/>
      <c r="N31" s="14"/>
      <c r="O31" s="14"/>
      <c r="P31" s="14"/>
      <c r="Q31" s="14"/>
      <c r="R31" s="15"/>
      <c r="S31" s="15"/>
      <c r="T31" s="14"/>
      <c r="U31" s="14"/>
      <c r="V31" s="8" t="str">
        <f aca="false">IF(AND(R31&lt;&gt;"",S31&lt;&gt;""),NETWORKDAYS(R31,S31)-1,"")</f>
        <v/>
      </c>
      <c r="W31" s="14"/>
    </row>
    <row r="32" customFormat="false" ht="15" hidden="false" customHeight="false" outlineLevel="0" collapsed="false">
      <c r="A32" s="14"/>
      <c r="B32" s="15"/>
      <c r="C32" s="14"/>
      <c r="D32" s="14"/>
      <c r="E32" s="14"/>
      <c r="F32" s="14"/>
      <c r="G32" s="14"/>
      <c r="H32" s="14"/>
      <c r="I32" s="14"/>
      <c r="J32" s="14"/>
      <c r="K32" s="14"/>
      <c r="L32" s="14"/>
      <c r="M32" s="14"/>
      <c r="N32" s="14"/>
      <c r="O32" s="14"/>
      <c r="P32" s="14"/>
      <c r="Q32" s="14"/>
      <c r="R32" s="15"/>
      <c r="S32" s="15"/>
      <c r="T32" s="14"/>
      <c r="U32" s="14"/>
      <c r="V32" s="8" t="str">
        <f aca="false">IF(AND(R32&lt;&gt;"",S32&lt;&gt;""),NETWORKDAYS(R32,S32)-1,"")</f>
        <v/>
      </c>
      <c r="W32" s="14"/>
    </row>
    <row r="33" customFormat="false" ht="15" hidden="false" customHeight="false" outlineLevel="0" collapsed="false">
      <c r="A33" s="14"/>
      <c r="B33" s="15"/>
      <c r="C33" s="14"/>
      <c r="D33" s="14"/>
      <c r="E33" s="14"/>
      <c r="F33" s="14"/>
      <c r="G33" s="14"/>
      <c r="H33" s="14"/>
      <c r="I33" s="14"/>
      <c r="J33" s="14"/>
      <c r="K33" s="14"/>
      <c r="L33" s="14"/>
      <c r="M33" s="14"/>
      <c r="N33" s="14"/>
      <c r="O33" s="14"/>
      <c r="P33" s="14"/>
      <c r="Q33" s="14"/>
      <c r="R33" s="15"/>
      <c r="S33" s="15"/>
      <c r="T33" s="14"/>
      <c r="U33" s="14"/>
      <c r="V33" s="8" t="str">
        <f aca="false">IF(AND(R33&lt;&gt;"",S33&lt;&gt;""),NETWORKDAYS(R33,S33)-1,"")</f>
        <v/>
      </c>
      <c r="W33" s="14"/>
    </row>
    <row r="34" customFormat="false" ht="15" hidden="false" customHeight="false" outlineLevel="0" collapsed="false">
      <c r="A34" s="14"/>
      <c r="B34" s="15"/>
      <c r="C34" s="14"/>
      <c r="D34" s="14"/>
      <c r="E34" s="14"/>
      <c r="F34" s="14"/>
      <c r="G34" s="14"/>
      <c r="H34" s="14"/>
      <c r="I34" s="14"/>
      <c r="J34" s="14"/>
      <c r="K34" s="14"/>
      <c r="L34" s="14"/>
      <c r="M34" s="14"/>
      <c r="N34" s="14"/>
      <c r="O34" s="14"/>
      <c r="P34" s="14"/>
      <c r="Q34" s="14"/>
      <c r="R34" s="15"/>
      <c r="S34" s="15"/>
      <c r="T34" s="14"/>
      <c r="U34" s="14"/>
      <c r="V34" s="8" t="str">
        <f aca="false">IF(AND(R34&lt;&gt;"",S34&lt;&gt;""),NETWORKDAYS(R34,S34)-1,"")</f>
        <v/>
      </c>
      <c r="W34" s="14"/>
    </row>
    <row r="35" customFormat="false" ht="15" hidden="false" customHeight="false" outlineLevel="0" collapsed="false">
      <c r="A35" s="14"/>
      <c r="B35" s="15"/>
      <c r="C35" s="14"/>
      <c r="D35" s="14"/>
      <c r="E35" s="14"/>
      <c r="F35" s="14"/>
      <c r="G35" s="14"/>
      <c r="H35" s="14"/>
      <c r="I35" s="14"/>
      <c r="J35" s="14"/>
      <c r="K35" s="14"/>
      <c r="L35" s="14"/>
      <c r="M35" s="14"/>
      <c r="N35" s="14"/>
      <c r="O35" s="14"/>
      <c r="P35" s="14"/>
      <c r="Q35" s="14"/>
      <c r="R35" s="15"/>
      <c r="S35" s="15"/>
      <c r="T35" s="14"/>
      <c r="U35" s="14"/>
      <c r="V35" s="8" t="str">
        <f aca="false">IF(AND(R35&lt;&gt;"",S35&lt;&gt;""),NETWORKDAYS(R35,S35)-1,"")</f>
        <v/>
      </c>
      <c r="W35" s="14"/>
    </row>
    <row r="36" customFormat="false" ht="15" hidden="false" customHeight="false" outlineLevel="0" collapsed="false">
      <c r="A36" s="14"/>
      <c r="B36" s="15"/>
      <c r="C36" s="14"/>
      <c r="D36" s="14"/>
      <c r="E36" s="14"/>
      <c r="F36" s="14"/>
      <c r="G36" s="14"/>
      <c r="H36" s="14"/>
      <c r="I36" s="14"/>
      <c r="J36" s="14"/>
      <c r="K36" s="14"/>
      <c r="L36" s="14"/>
      <c r="M36" s="14"/>
      <c r="N36" s="14"/>
      <c r="O36" s="14"/>
      <c r="P36" s="14"/>
      <c r="Q36" s="14"/>
      <c r="R36" s="15"/>
      <c r="S36" s="15"/>
      <c r="T36" s="14"/>
      <c r="U36" s="14"/>
      <c r="V36" s="8" t="str">
        <f aca="false">IF(AND(R36&lt;&gt;"",S36&lt;&gt;""),NETWORKDAYS(R36,S36)-1,"")</f>
        <v/>
      </c>
      <c r="W36" s="14"/>
    </row>
    <row r="37" customFormat="false" ht="15" hidden="false" customHeight="false" outlineLevel="0" collapsed="false">
      <c r="A37" s="14"/>
      <c r="B37" s="15"/>
      <c r="C37" s="14"/>
      <c r="D37" s="14"/>
      <c r="E37" s="14"/>
      <c r="F37" s="14"/>
      <c r="G37" s="14"/>
      <c r="H37" s="14"/>
      <c r="I37" s="14"/>
      <c r="J37" s="14"/>
      <c r="K37" s="14"/>
      <c r="L37" s="14"/>
      <c r="M37" s="14"/>
      <c r="N37" s="14"/>
      <c r="O37" s="14"/>
      <c r="P37" s="14"/>
      <c r="Q37" s="14"/>
      <c r="R37" s="15"/>
      <c r="S37" s="15"/>
      <c r="T37" s="14"/>
      <c r="U37" s="14"/>
      <c r="V37" s="8" t="str">
        <f aca="false">IF(AND(R37&lt;&gt;"",S37&lt;&gt;""),NETWORKDAYS(R37,S37)-1,"")</f>
        <v/>
      </c>
      <c r="W37" s="14"/>
    </row>
    <row r="38" customFormat="false" ht="15" hidden="false" customHeight="false" outlineLevel="0" collapsed="false">
      <c r="A38" s="14"/>
      <c r="B38" s="15"/>
      <c r="C38" s="14"/>
      <c r="D38" s="14"/>
      <c r="E38" s="14"/>
      <c r="F38" s="14"/>
      <c r="G38" s="14"/>
      <c r="H38" s="14"/>
      <c r="I38" s="14"/>
      <c r="J38" s="14"/>
      <c r="K38" s="14"/>
      <c r="L38" s="14"/>
      <c r="M38" s="14"/>
      <c r="N38" s="14"/>
      <c r="O38" s="14"/>
      <c r="P38" s="14"/>
      <c r="Q38" s="14"/>
      <c r="R38" s="15"/>
      <c r="S38" s="15"/>
      <c r="T38" s="14"/>
      <c r="U38" s="14"/>
      <c r="V38" s="8" t="str">
        <f aca="false">IF(AND(R38&lt;&gt;"",S38&lt;&gt;""),NETWORKDAYS(R38,S38)-1,"")</f>
        <v/>
      </c>
      <c r="W38" s="14"/>
    </row>
    <row r="39" customFormat="false" ht="15" hidden="false" customHeight="false" outlineLevel="0" collapsed="false">
      <c r="A39" s="14"/>
      <c r="B39" s="15"/>
      <c r="C39" s="14"/>
      <c r="D39" s="14"/>
      <c r="E39" s="14"/>
      <c r="F39" s="14"/>
      <c r="G39" s="14"/>
      <c r="H39" s="14"/>
      <c r="I39" s="14"/>
      <c r="J39" s="14"/>
      <c r="K39" s="14"/>
      <c r="L39" s="14"/>
      <c r="M39" s="14"/>
      <c r="N39" s="14"/>
      <c r="O39" s="14"/>
      <c r="P39" s="14"/>
      <c r="Q39" s="14"/>
      <c r="R39" s="15"/>
      <c r="S39" s="15"/>
      <c r="T39" s="14"/>
      <c r="U39" s="14"/>
      <c r="V39" s="8" t="str">
        <f aca="false">IF(AND(R39&lt;&gt;"",S39&lt;&gt;""),NETWORKDAYS(R39,S39)-1,"")</f>
        <v/>
      </c>
      <c r="W39" s="14"/>
    </row>
    <row r="40" customFormat="false" ht="15" hidden="false" customHeight="false" outlineLevel="0" collapsed="false">
      <c r="A40" s="14"/>
      <c r="B40" s="15"/>
      <c r="C40" s="14"/>
      <c r="D40" s="14"/>
      <c r="E40" s="14"/>
      <c r="F40" s="14"/>
      <c r="G40" s="14"/>
      <c r="H40" s="14"/>
      <c r="I40" s="14"/>
      <c r="J40" s="14"/>
      <c r="K40" s="14"/>
      <c r="L40" s="14"/>
      <c r="M40" s="14"/>
      <c r="N40" s="14"/>
      <c r="O40" s="14"/>
      <c r="P40" s="14"/>
      <c r="Q40" s="14"/>
      <c r="R40" s="15"/>
      <c r="S40" s="15"/>
      <c r="T40" s="14"/>
      <c r="U40" s="14"/>
      <c r="V40" s="8" t="str">
        <f aca="false">IF(AND(R40&lt;&gt;"",S40&lt;&gt;""),NETWORKDAYS(R40,S40)-1,"")</f>
        <v/>
      </c>
      <c r="W40" s="14"/>
    </row>
    <row r="41" customFormat="false" ht="15" hidden="false" customHeight="false" outlineLevel="0" collapsed="false">
      <c r="A41" s="14"/>
      <c r="B41" s="15"/>
      <c r="C41" s="14"/>
      <c r="D41" s="14"/>
      <c r="E41" s="14"/>
      <c r="F41" s="14"/>
      <c r="G41" s="14"/>
      <c r="H41" s="14"/>
      <c r="I41" s="14"/>
      <c r="J41" s="14"/>
      <c r="K41" s="14"/>
      <c r="L41" s="14"/>
      <c r="M41" s="14"/>
      <c r="N41" s="14"/>
      <c r="O41" s="14"/>
      <c r="P41" s="14"/>
      <c r="Q41" s="14"/>
      <c r="R41" s="15"/>
      <c r="S41" s="15"/>
      <c r="T41" s="14"/>
      <c r="U41" s="14"/>
      <c r="V41" s="8" t="str">
        <f aca="false">IF(AND(R41&lt;&gt;"",S41&lt;&gt;""),NETWORKDAYS(R41,S41)-1,"")</f>
        <v/>
      </c>
      <c r="W41" s="14"/>
    </row>
    <row r="42" customFormat="false" ht="15" hidden="false" customHeight="false" outlineLevel="0" collapsed="false">
      <c r="A42" s="14"/>
      <c r="B42" s="15"/>
      <c r="C42" s="14"/>
      <c r="D42" s="14"/>
      <c r="E42" s="14"/>
      <c r="F42" s="14"/>
      <c r="G42" s="14"/>
      <c r="H42" s="14"/>
      <c r="I42" s="14"/>
      <c r="J42" s="14"/>
      <c r="K42" s="14"/>
      <c r="L42" s="14"/>
      <c r="M42" s="14"/>
      <c r="N42" s="14"/>
      <c r="O42" s="14"/>
      <c r="P42" s="14"/>
      <c r="Q42" s="14"/>
      <c r="R42" s="15"/>
      <c r="S42" s="15"/>
      <c r="T42" s="14"/>
      <c r="U42" s="14"/>
      <c r="V42" s="8" t="str">
        <f aca="false">IF(AND(R42&lt;&gt;"",S42&lt;&gt;""),NETWORKDAYS(R42,S42)-1,"")</f>
        <v/>
      </c>
      <c r="W42" s="14"/>
    </row>
    <row r="43" customFormat="false" ht="15" hidden="false" customHeight="false" outlineLevel="0" collapsed="false">
      <c r="A43" s="14"/>
      <c r="B43" s="15"/>
      <c r="C43" s="14"/>
      <c r="D43" s="14"/>
      <c r="E43" s="14"/>
      <c r="F43" s="14"/>
      <c r="G43" s="14"/>
      <c r="H43" s="14"/>
      <c r="I43" s="14"/>
      <c r="J43" s="14"/>
      <c r="K43" s="14"/>
      <c r="L43" s="14"/>
      <c r="M43" s="14"/>
      <c r="N43" s="14"/>
      <c r="O43" s="14"/>
      <c r="P43" s="14"/>
      <c r="Q43" s="14"/>
      <c r="R43" s="15"/>
      <c r="S43" s="15"/>
      <c r="T43" s="14"/>
      <c r="U43" s="14"/>
      <c r="V43" s="8" t="str">
        <f aca="false">IF(AND(R43&lt;&gt;"",S43&lt;&gt;""),NETWORKDAYS(R43,S43)-1,"")</f>
        <v/>
      </c>
      <c r="W43" s="14"/>
    </row>
    <row r="44" customFormat="false" ht="15" hidden="false" customHeight="false" outlineLevel="0" collapsed="false">
      <c r="A44" s="14"/>
      <c r="B44" s="15"/>
      <c r="C44" s="14"/>
      <c r="D44" s="14"/>
      <c r="E44" s="14"/>
      <c r="F44" s="14"/>
      <c r="G44" s="14"/>
      <c r="H44" s="14"/>
      <c r="I44" s="14"/>
      <c r="J44" s="14"/>
      <c r="K44" s="14"/>
      <c r="L44" s="14"/>
      <c r="M44" s="14"/>
      <c r="N44" s="14"/>
      <c r="O44" s="14"/>
      <c r="P44" s="14"/>
      <c r="Q44" s="14"/>
      <c r="R44" s="15"/>
      <c r="S44" s="15"/>
      <c r="T44" s="14"/>
      <c r="U44" s="14"/>
      <c r="V44" s="8" t="str">
        <f aca="false">IF(AND(R44&lt;&gt;"",S44&lt;&gt;""),NETWORKDAYS(R44,S44)-1,"")</f>
        <v/>
      </c>
      <c r="W44" s="14"/>
    </row>
    <row r="45" customFormat="false" ht="15" hidden="false" customHeight="false" outlineLevel="0" collapsed="false">
      <c r="A45" s="14"/>
      <c r="B45" s="15"/>
      <c r="C45" s="14"/>
      <c r="D45" s="14"/>
      <c r="E45" s="14"/>
      <c r="F45" s="14"/>
      <c r="G45" s="14"/>
      <c r="H45" s="14"/>
      <c r="I45" s="14"/>
      <c r="J45" s="14"/>
      <c r="K45" s="14"/>
      <c r="L45" s="14"/>
      <c r="M45" s="14"/>
      <c r="N45" s="14"/>
      <c r="O45" s="14"/>
      <c r="P45" s="14"/>
      <c r="Q45" s="14"/>
      <c r="R45" s="15"/>
      <c r="S45" s="15"/>
      <c r="T45" s="14"/>
      <c r="U45" s="14"/>
      <c r="V45" s="8" t="str">
        <f aca="false">IF(AND(R45&lt;&gt;"",S45&lt;&gt;""),NETWORKDAYS(R45,S45)-1,"")</f>
        <v/>
      </c>
      <c r="W45" s="14"/>
    </row>
    <row r="46" customFormat="false" ht="15" hidden="false" customHeight="false" outlineLevel="0" collapsed="false">
      <c r="A46" s="14"/>
      <c r="B46" s="15"/>
      <c r="C46" s="14"/>
      <c r="D46" s="14"/>
      <c r="E46" s="14"/>
      <c r="F46" s="14"/>
      <c r="G46" s="14"/>
      <c r="H46" s="14"/>
      <c r="I46" s="14"/>
      <c r="J46" s="14"/>
      <c r="K46" s="14"/>
      <c r="L46" s="14"/>
      <c r="M46" s="14"/>
      <c r="N46" s="14"/>
      <c r="O46" s="14"/>
      <c r="P46" s="14"/>
      <c r="Q46" s="14"/>
      <c r="R46" s="15"/>
      <c r="S46" s="15"/>
      <c r="T46" s="14"/>
      <c r="U46" s="14"/>
      <c r="V46" s="8" t="str">
        <f aca="false">IF(AND(R46&lt;&gt;"",S46&lt;&gt;""),NETWORKDAYS(R46,S46)-1,"")</f>
        <v/>
      </c>
      <c r="W46" s="14"/>
    </row>
    <row r="47" customFormat="false" ht="15" hidden="false" customHeight="false" outlineLevel="0" collapsed="false">
      <c r="A47" s="14"/>
      <c r="B47" s="15"/>
      <c r="C47" s="14"/>
      <c r="D47" s="14"/>
      <c r="E47" s="14"/>
      <c r="F47" s="14"/>
      <c r="G47" s="14"/>
      <c r="H47" s="14"/>
      <c r="I47" s="14"/>
      <c r="J47" s="14"/>
      <c r="K47" s="14"/>
      <c r="L47" s="14"/>
      <c r="M47" s="14"/>
      <c r="N47" s="14"/>
      <c r="O47" s="14"/>
      <c r="P47" s="14"/>
      <c r="Q47" s="14"/>
      <c r="R47" s="15"/>
      <c r="S47" s="15"/>
      <c r="T47" s="14"/>
      <c r="U47" s="14"/>
      <c r="V47" s="8" t="str">
        <f aca="false">IF(AND(R47&lt;&gt;"",S47&lt;&gt;""),NETWORKDAYS(R47,S47)-1,"")</f>
        <v/>
      </c>
      <c r="W47" s="14"/>
    </row>
    <row r="48" customFormat="false" ht="15" hidden="false" customHeight="false" outlineLevel="0" collapsed="false">
      <c r="A48" s="14"/>
      <c r="B48" s="15"/>
      <c r="C48" s="14"/>
      <c r="D48" s="14"/>
      <c r="E48" s="14"/>
      <c r="F48" s="14"/>
      <c r="G48" s="14"/>
      <c r="H48" s="14"/>
      <c r="I48" s="14"/>
      <c r="J48" s="14"/>
      <c r="K48" s="14"/>
      <c r="L48" s="14"/>
      <c r="M48" s="14"/>
      <c r="N48" s="14"/>
      <c r="O48" s="14"/>
      <c r="P48" s="14"/>
      <c r="Q48" s="14"/>
      <c r="R48" s="15"/>
      <c r="S48" s="15"/>
      <c r="T48" s="14"/>
      <c r="U48" s="14"/>
      <c r="V48" s="8" t="str">
        <f aca="false">IF(AND(R48&lt;&gt;"",S48&lt;&gt;""),NETWORKDAYS(R48,S48)-1,"")</f>
        <v/>
      </c>
      <c r="W48" s="14"/>
    </row>
    <row r="49" customFormat="false" ht="15" hidden="false" customHeight="false" outlineLevel="0" collapsed="false">
      <c r="A49" s="14"/>
      <c r="B49" s="15"/>
      <c r="C49" s="14"/>
      <c r="D49" s="14"/>
      <c r="E49" s="14"/>
      <c r="F49" s="14"/>
      <c r="G49" s="14"/>
      <c r="H49" s="14"/>
      <c r="I49" s="14"/>
      <c r="J49" s="14"/>
      <c r="K49" s="14"/>
      <c r="L49" s="14"/>
      <c r="M49" s="14"/>
      <c r="N49" s="14"/>
      <c r="O49" s="14"/>
      <c r="P49" s="14"/>
      <c r="Q49" s="14"/>
      <c r="R49" s="15"/>
      <c r="S49" s="15"/>
      <c r="T49" s="14"/>
      <c r="U49" s="14"/>
      <c r="V49" s="8" t="str">
        <f aca="false">IF(AND(R49&lt;&gt;"",S49&lt;&gt;""),NETWORKDAYS(R49,S49)-1,"")</f>
        <v/>
      </c>
      <c r="W49" s="14"/>
    </row>
    <row r="50" customFormat="false" ht="15" hidden="false" customHeight="false" outlineLevel="0" collapsed="false">
      <c r="A50" s="14"/>
      <c r="B50" s="15"/>
      <c r="C50" s="14"/>
      <c r="D50" s="14"/>
      <c r="E50" s="14"/>
      <c r="F50" s="14"/>
      <c r="G50" s="14"/>
      <c r="H50" s="14"/>
      <c r="I50" s="14"/>
      <c r="J50" s="14"/>
      <c r="K50" s="14"/>
      <c r="L50" s="14"/>
      <c r="M50" s="14"/>
      <c r="N50" s="14"/>
      <c r="O50" s="14"/>
      <c r="P50" s="14"/>
      <c r="Q50" s="14"/>
      <c r="R50" s="15"/>
      <c r="S50" s="15"/>
      <c r="T50" s="14"/>
      <c r="U50" s="14"/>
      <c r="V50" s="8" t="str">
        <f aca="false">IF(AND(R50&lt;&gt;"",S50&lt;&gt;""),NETWORKDAYS(R50,S50)-1,"")</f>
        <v/>
      </c>
      <c r="W50" s="14"/>
    </row>
    <row r="51" customFormat="false" ht="15" hidden="false" customHeight="false" outlineLevel="0" collapsed="false">
      <c r="A51" s="14"/>
      <c r="B51" s="15"/>
      <c r="C51" s="14"/>
      <c r="D51" s="14"/>
      <c r="E51" s="14"/>
      <c r="F51" s="14"/>
      <c r="G51" s="14"/>
      <c r="H51" s="14"/>
      <c r="I51" s="14"/>
      <c r="J51" s="14"/>
      <c r="K51" s="14"/>
      <c r="L51" s="14"/>
      <c r="M51" s="14"/>
      <c r="N51" s="14"/>
      <c r="O51" s="14"/>
      <c r="P51" s="14"/>
      <c r="Q51" s="14"/>
      <c r="R51" s="15"/>
      <c r="S51" s="15"/>
      <c r="T51" s="14"/>
      <c r="U51" s="14"/>
      <c r="V51" s="8" t="str">
        <f aca="false">IF(AND(R51&lt;&gt;"",S51&lt;&gt;""),NETWORKDAYS(R51,S51)-1,"")</f>
        <v/>
      </c>
      <c r="W51" s="14"/>
    </row>
    <row r="52" customFormat="false" ht="15" hidden="false" customHeight="false" outlineLevel="0" collapsed="false">
      <c r="A52" s="14"/>
      <c r="B52" s="15"/>
      <c r="C52" s="14"/>
      <c r="D52" s="14"/>
      <c r="E52" s="14"/>
      <c r="F52" s="14"/>
      <c r="G52" s="14"/>
      <c r="H52" s="14"/>
      <c r="I52" s="14"/>
      <c r="J52" s="14"/>
      <c r="K52" s="14"/>
      <c r="L52" s="14"/>
      <c r="M52" s="14"/>
      <c r="N52" s="14"/>
      <c r="O52" s="14"/>
      <c r="P52" s="14"/>
      <c r="Q52" s="14"/>
      <c r="R52" s="15"/>
      <c r="S52" s="15"/>
      <c r="T52" s="14"/>
      <c r="U52" s="14"/>
      <c r="V52" s="8" t="str">
        <f aca="false">IF(AND(R52&lt;&gt;"",S52&lt;&gt;""),NETWORKDAYS(R52,S52)-1,"")</f>
        <v/>
      </c>
      <c r="W52" s="14"/>
    </row>
    <row r="53" customFormat="false" ht="15" hidden="false" customHeight="false" outlineLevel="0" collapsed="false">
      <c r="A53" s="14"/>
      <c r="B53" s="15"/>
      <c r="C53" s="14"/>
      <c r="D53" s="14"/>
      <c r="E53" s="14"/>
      <c r="F53" s="14"/>
      <c r="G53" s="14"/>
      <c r="H53" s="14"/>
      <c r="I53" s="14"/>
      <c r="J53" s="14"/>
      <c r="K53" s="14"/>
      <c r="L53" s="14"/>
      <c r="M53" s="14"/>
      <c r="N53" s="14"/>
      <c r="O53" s="14"/>
      <c r="P53" s="14"/>
      <c r="Q53" s="14"/>
      <c r="R53" s="15"/>
      <c r="S53" s="15"/>
      <c r="T53" s="14"/>
      <c r="U53" s="14"/>
      <c r="V53" s="8" t="str">
        <f aca="false">IF(AND(R53&lt;&gt;"",S53&lt;&gt;""),NETWORKDAYS(R53,S53)-1,"")</f>
        <v/>
      </c>
      <c r="W53" s="14"/>
    </row>
    <row r="54" customFormat="false" ht="15" hidden="false" customHeight="false" outlineLevel="0" collapsed="false">
      <c r="A54" s="14"/>
      <c r="B54" s="15"/>
      <c r="C54" s="14"/>
      <c r="D54" s="14"/>
      <c r="E54" s="14"/>
      <c r="F54" s="14"/>
      <c r="G54" s="14"/>
      <c r="H54" s="14"/>
      <c r="I54" s="14"/>
      <c r="J54" s="14"/>
      <c r="K54" s="14"/>
      <c r="L54" s="14"/>
      <c r="M54" s="14"/>
      <c r="N54" s="14"/>
      <c r="O54" s="14"/>
      <c r="P54" s="14"/>
      <c r="Q54" s="14"/>
      <c r="R54" s="15"/>
      <c r="S54" s="15"/>
      <c r="T54" s="14"/>
      <c r="U54" s="14"/>
      <c r="V54" s="8" t="str">
        <f aca="false">IF(AND(R54&lt;&gt;"",S54&lt;&gt;""),NETWORKDAYS(R54,S54)-1,"")</f>
        <v/>
      </c>
      <c r="W54" s="14"/>
    </row>
    <row r="55" customFormat="false" ht="15" hidden="false" customHeight="false" outlineLevel="0" collapsed="false">
      <c r="A55" s="14"/>
      <c r="B55" s="15"/>
      <c r="C55" s="14"/>
      <c r="D55" s="14"/>
      <c r="E55" s="14"/>
      <c r="F55" s="14"/>
      <c r="G55" s="14"/>
      <c r="H55" s="14"/>
      <c r="I55" s="14"/>
      <c r="J55" s="14"/>
      <c r="K55" s="14"/>
      <c r="L55" s="14"/>
      <c r="M55" s="14"/>
      <c r="N55" s="14"/>
      <c r="O55" s="14"/>
      <c r="P55" s="14"/>
      <c r="Q55" s="14"/>
      <c r="R55" s="15"/>
      <c r="S55" s="15"/>
      <c r="T55" s="14"/>
      <c r="U55" s="14"/>
      <c r="V55" s="8" t="str">
        <f aca="false">IF(AND(R55&lt;&gt;"",S55&lt;&gt;""),NETWORKDAYS(R55,S55)-1,"")</f>
        <v/>
      </c>
      <c r="W55" s="14"/>
    </row>
    <row r="56" customFormat="false" ht="15" hidden="false" customHeight="false" outlineLevel="0" collapsed="false">
      <c r="A56" s="14"/>
      <c r="B56" s="15"/>
      <c r="C56" s="14"/>
      <c r="D56" s="14"/>
      <c r="E56" s="14"/>
      <c r="F56" s="14"/>
      <c r="G56" s="14"/>
      <c r="H56" s="14"/>
      <c r="I56" s="14"/>
      <c r="J56" s="14"/>
      <c r="K56" s="14"/>
      <c r="L56" s="14"/>
      <c r="M56" s="14"/>
      <c r="N56" s="14"/>
      <c r="O56" s="14"/>
      <c r="P56" s="14"/>
      <c r="Q56" s="14"/>
      <c r="R56" s="15"/>
      <c r="S56" s="15"/>
      <c r="T56" s="14"/>
      <c r="U56" s="14"/>
      <c r="V56" s="8" t="str">
        <f aca="false">IF(AND(R56&lt;&gt;"",S56&lt;&gt;""),NETWORKDAYS(R56,S56)-1,"")</f>
        <v/>
      </c>
      <c r="W56" s="14"/>
    </row>
    <row r="57" customFormat="false" ht="15" hidden="false" customHeight="false" outlineLevel="0" collapsed="false">
      <c r="A57" s="14"/>
      <c r="B57" s="15"/>
      <c r="C57" s="14"/>
      <c r="D57" s="14"/>
      <c r="E57" s="14"/>
      <c r="F57" s="14"/>
      <c r="G57" s="14"/>
      <c r="H57" s="14"/>
      <c r="I57" s="14"/>
      <c r="J57" s="14"/>
      <c r="K57" s="14"/>
      <c r="L57" s="14"/>
      <c r="M57" s="14"/>
      <c r="N57" s="14"/>
      <c r="O57" s="14"/>
      <c r="P57" s="14"/>
      <c r="Q57" s="14"/>
      <c r="R57" s="15"/>
      <c r="S57" s="15"/>
      <c r="T57" s="14"/>
      <c r="U57" s="14"/>
      <c r="V57" s="8" t="str">
        <f aca="false">IF(AND(R57&lt;&gt;"",S57&lt;&gt;""),NETWORKDAYS(R57,S57)-1,"")</f>
        <v/>
      </c>
      <c r="W57" s="14"/>
    </row>
    <row r="58" customFormat="false" ht="15" hidden="false" customHeight="false" outlineLevel="0" collapsed="false">
      <c r="A58" s="14"/>
      <c r="B58" s="15"/>
      <c r="C58" s="14"/>
      <c r="D58" s="14"/>
      <c r="E58" s="14"/>
      <c r="F58" s="14"/>
      <c r="G58" s="14"/>
      <c r="H58" s="14"/>
      <c r="I58" s="14"/>
      <c r="J58" s="14"/>
      <c r="K58" s="14"/>
      <c r="L58" s="14"/>
      <c r="M58" s="14"/>
      <c r="N58" s="14"/>
      <c r="O58" s="14"/>
      <c r="P58" s="14"/>
      <c r="Q58" s="14"/>
      <c r="R58" s="15"/>
      <c r="S58" s="15"/>
      <c r="T58" s="14"/>
      <c r="U58" s="14"/>
      <c r="V58" s="8" t="str">
        <f aca="false">IF(AND(R58&lt;&gt;"",S58&lt;&gt;""),NETWORKDAYS(R58,S58)-1,"")</f>
        <v/>
      </c>
      <c r="W58" s="14"/>
    </row>
    <row r="59" customFormat="false" ht="15" hidden="false" customHeight="false" outlineLevel="0" collapsed="false">
      <c r="A59" s="14"/>
      <c r="B59" s="15"/>
      <c r="C59" s="14"/>
      <c r="D59" s="14"/>
      <c r="E59" s="14"/>
      <c r="F59" s="14"/>
      <c r="G59" s="14"/>
      <c r="H59" s="14"/>
      <c r="I59" s="14"/>
      <c r="J59" s="14"/>
      <c r="K59" s="14"/>
      <c r="L59" s="14"/>
      <c r="M59" s="14"/>
      <c r="N59" s="14"/>
      <c r="O59" s="14"/>
      <c r="P59" s="14"/>
      <c r="Q59" s="14"/>
      <c r="R59" s="15"/>
      <c r="S59" s="15"/>
      <c r="T59" s="14"/>
      <c r="U59" s="14"/>
      <c r="V59" s="8" t="str">
        <f aca="false">IF(AND(R59&lt;&gt;"",S59&lt;&gt;""),NETWORKDAYS(R59,S59)-1,"")</f>
        <v/>
      </c>
      <c r="W59" s="14"/>
    </row>
    <row r="60" customFormat="false" ht="15" hidden="false" customHeight="false" outlineLevel="0" collapsed="false">
      <c r="A60" s="14"/>
      <c r="B60" s="15"/>
      <c r="C60" s="14"/>
      <c r="D60" s="14"/>
      <c r="E60" s="14"/>
      <c r="F60" s="14"/>
      <c r="G60" s="14"/>
      <c r="H60" s="14"/>
      <c r="I60" s="14"/>
      <c r="J60" s="14"/>
      <c r="K60" s="14"/>
      <c r="L60" s="14"/>
      <c r="M60" s="14"/>
      <c r="N60" s="14"/>
      <c r="O60" s="14"/>
      <c r="P60" s="14"/>
      <c r="Q60" s="14"/>
      <c r="R60" s="15"/>
      <c r="S60" s="15"/>
      <c r="T60" s="14"/>
      <c r="U60" s="14"/>
      <c r="V60" s="8" t="str">
        <f aca="false">IF(AND(R60&lt;&gt;"",S60&lt;&gt;""),NETWORKDAYS(R60,S60)-1,"")</f>
        <v/>
      </c>
      <c r="W60" s="14"/>
    </row>
    <row r="61" customFormat="false" ht="15" hidden="false" customHeight="false" outlineLevel="0" collapsed="false">
      <c r="A61" s="14"/>
      <c r="B61" s="15"/>
      <c r="C61" s="14"/>
      <c r="D61" s="14"/>
      <c r="E61" s="14"/>
      <c r="F61" s="14"/>
      <c r="G61" s="14"/>
      <c r="H61" s="14"/>
      <c r="I61" s="14"/>
      <c r="J61" s="14"/>
      <c r="K61" s="14"/>
      <c r="L61" s="14"/>
      <c r="M61" s="14"/>
      <c r="N61" s="14"/>
      <c r="O61" s="14"/>
      <c r="P61" s="14"/>
      <c r="Q61" s="14"/>
      <c r="R61" s="15"/>
      <c r="S61" s="15"/>
      <c r="T61" s="14"/>
      <c r="U61" s="14"/>
      <c r="V61" s="8" t="str">
        <f aca="false">IF(AND(R61&lt;&gt;"",S61&lt;&gt;""),NETWORKDAYS(R61,S61)-1,"")</f>
        <v/>
      </c>
      <c r="W61" s="14"/>
    </row>
    <row r="62" customFormat="false" ht="15" hidden="false" customHeight="false" outlineLevel="0" collapsed="false">
      <c r="A62" s="14"/>
      <c r="B62" s="15"/>
      <c r="C62" s="14"/>
      <c r="D62" s="14"/>
      <c r="E62" s="14"/>
      <c r="F62" s="14"/>
      <c r="G62" s="14"/>
      <c r="H62" s="14"/>
      <c r="I62" s="14"/>
      <c r="J62" s="14"/>
      <c r="K62" s="14"/>
      <c r="L62" s="14"/>
      <c r="M62" s="14"/>
      <c r="N62" s="14"/>
      <c r="O62" s="14"/>
      <c r="P62" s="14"/>
      <c r="Q62" s="14"/>
      <c r="R62" s="15"/>
      <c r="S62" s="15"/>
      <c r="T62" s="14"/>
      <c r="U62" s="14"/>
      <c r="V62" s="8" t="str">
        <f aca="false">IF(AND(R62&lt;&gt;"",S62&lt;&gt;""),NETWORKDAYS(R62,S62)-1,"")</f>
        <v/>
      </c>
      <c r="W62" s="14"/>
    </row>
    <row r="63" customFormat="false" ht="15" hidden="false" customHeight="false" outlineLevel="0" collapsed="false">
      <c r="A63" s="14"/>
      <c r="B63" s="15"/>
      <c r="C63" s="14"/>
      <c r="D63" s="14"/>
      <c r="E63" s="14"/>
      <c r="F63" s="14"/>
      <c r="G63" s="14"/>
      <c r="H63" s="14"/>
      <c r="I63" s="14"/>
      <c r="J63" s="14"/>
      <c r="K63" s="14"/>
      <c r="L63" s="14"/>
      <c r="M63" s="14"/>
      <c r="N63" s="14"/>
      <c r="O63" s="14"/>
      <c r="P63" s="14"/>
      <c r="Q63" s="14"/>
      <c r="R63" s="15"/>
      <c r="S63" s="15"/>
      <c r="T63" s="14"/>
      <c r="U63" s="14"/>
      <c r="V63" s="8" t="str">
        <f aca="false">IF(AND(R63&lt;&gt;"",S63&lt;&gt;""),NETWORKDAYS(R63,S63)-1,"")</f>
        <v/>
      </c>
      <c r="W63" s="14"/>
    </row>
    <row r="64" customFormat="false" ht="15" hidden="false" customHeight="false" outlineLevel="0" collapsed="false">
      <c r="A64" s="14"/>
      <c r="B64" s="15"/>
      <c r="C64" s="14"/>
      <c r="D64" s="14"/>
      <c r="E64" s="14"/>
      <c r="F64" s="14"/>
      <c r="G64" s="14"/>
      <c r="H64" s="14"/>
      <c r="I64" s="14"/>
      <c r="J64" s="14"/>
      <c r="K64" s="14"/>
      <c r="L64" s="14"/>
      <c r="M64" s="14"/>
      <c r="N64" s="14"/>
      <c r="O64" s="14"/>
      <c r="P64" s="14"/>
      <c r="Q64" s="14"/>
      <c r="R64" s="15"/>
      <c r="S64" s="15"/>
      <c r="T64" s="14"/>
      <c r="U64" s="14"/>
      <c r="V64" s="8" t="str">
        <f aca="false">IF(AND(R64&lt;&gt;"",S64&lt;&gt;""),NETWORKDAYS(R64,S64)-1,"")</f>
        <v/>
      </c>
      <c r="W64" s="14"/>
    </row>
    <row r="65" customFormat="false" ht="15" hidden="false" customHeight="false" outlineLevel="0" collapsed="false">
      <c r="A65" s="14"/>
      <c r="B65" s="15"/>
      <c r="C65" s="14"/>
      <c r="D65" s="14"/>
      <c r="E65" s="14"/>
      <c r="F65" s="14"/>
      <c r="G65" s="14"/>
      <c r="H65" s="14"/>
      <c r="I65" s="14"/>
      <c r="J65" s="14"/>
      <c r="K65" s="14"/>
      <c r="L65" s="14"/>
      <c r="M65" s="14"/>
      <c r="N65" s="14"/>
      <c r="O65" s="14"/>
      <c r="P65" s="14"/>
      <c r="Q65" s="14"/>
      <c r="R65" s="15"/>
      <c r="S65" s="15"/>
      <c r="T65" s="14"/>
      <c r="U65" s="14"/>
      <c r="V65" s="8" t="str">
        <f aca="false">IF(AND(R65&lt;&gt;"",S65&lt;&gt;""),NETWORKDAYS(R65,S65)-1,"")</f>
        <v/>
      </c>
      <c r="W65" s="14"/>
    </row>
    <row r="66" customFormat="false" ht="15" hidden="false" customHeight="false" outlineLevel="0" collapsed="false">
      <c r="A66" s="14"/>
      <c r="B66" s="15"/>
      <c r="C66" s="14"/>
      <c r="D66" s="14"/>
      <c r="E66" s="14"/>
      <c r="F66" s="14"/>
      <c r="G66" s="14"/>
      <c r="H66" s="14"/>
      <c r="I66" s="14"/>
      <c r="J66" s="14"/>
      <c r="K66" s="14"/>
      <c r="L66" s="14"/>
      <c r="M66" s="14"/>
      <c r="N66" s="14"/>
      <c r="O66" s="14"/>
      <c r="P66" s="14"/>
      <c r="Q66" s="14"/>
      <c r="R66" s="15"/>
      <c r="S66" s="15"/>
      <c r="T66" s="14"/>
      <c r="U66" s="14"/>
      <c r="V66" s="8" t="str">
        <f aca="false">IF(AND(R66&lt;&gt;"",S66&lt;&gt;""),NETWORKDAYS(R66,S66)-1,"")</f>
        <v/>
      </c>
      <c r="W66" s="14"/>
    </row>
    <row r="67" customFormat="false" ht="15" hidden="false" customHeight="false" outlineLevel="0" collapsed="false">
      <c r="A67" s="14"/>
      <c r="B67" s="15"/>
      <c r="C67" s="14"/>
      <c r="D67" s="14"/>
      <c r="E67" s="14"/>
      <c r="F67" s="14"/>
      <c r="G67" s="14"/>
      <c r="H67" s="14"/>
      <c r="I67" s="14"/>
      <c r="J67" s="14"/>
      <c r="K67" s="14"/>
      <c r="L67" s="14"/>
      <c r="M67" s="14"/>
      <c r="N67" s="14"/>
      <c r="O67" s="14"/>
      <c r="P67" s="14"/>
      <c r="Q67" s="14"/>
      <c r="R67" s="15"/>
      <c r="S67" s="15"/>
      <c r="T67" s="14"/>
      <c r="U67" s="14"/>
      <c r="V67" s="8" t="str">
        <f aca="false">IF(AND(R67&lt;&gt;"",S67&lt;&gt;""),NETWORKDAYS(R67,S67)-1,"")</f>
        <v/>
      </c>
      <c r="W67" s="14"/>
    </row>
    <row r="68" customFormat="false" ht="15" hidden="false" customHeight="false" outlineLevel="0" collapsed="false">
      <c r="A68" s="14"/>
      <c r="B68" s="15"/>
      <c r="C68" s="14"/>
      <c r="D68" s="14"/>
      <c r="E68" s="14"/>
      <c r="F68" s="14"/>
      <c r="G68" s="14"/>
      <c r="H68" s="14"/>
      <c r="I68" s="14"/>
      <c r="J68" s="14"/>
      <c r="K68" s="14"/>
      <c r="L68" s="14"/>
      <c r="M68" s="14"/>
      <c r="N68" s="14"/>
      <c r="O68" s="14"/>
      <c r="P68" s="14"/>
      <c r="Q68" s="14"/>
      <c r="R68" s="15"/>
      <c r="S68" s="15"/>
      <c r="T68" s="14"/>
      <c r="U68" s="14"/>
      <c r="V68" s="8" t="str">
        <f aca="false">IF(AND(R68&lt;&gt;"",S68&lt;&gt;""),NETWORKDAYS(R68,S68)-1,"")</f>
        <v/>
      </c>
      <c r="W68" s="14"/>
    </row>
    <row r="69" customFormat="false" ht="15" hidden="false" customHeight="false" outlineLevel="0" collapsed="false">
      <c r="A69" s="14"/>
      <c r="B69" s="15"/>
      <c r="C69" s="14"/>
      <c r="D69" s="14"/>
      <c r="E69" s="14"/>
      <c r="F69" s="14"/>
      <c r="G69" s="14"/>
      <c r="H69" s="14"/>
      <c r="I69" s="14"/>
      <c r="J69" s="14"/>
      <c r="K69" s="14"/>
      <c r="L69" s="14"/>
      <c r="M69" s="14"/>
      <c r="N69" s="14"/>
      <c r="O69" s="14"/>
      <c r="P69" s="14"/>
      <c r="Q69" s="14"/>
      <c r="R69" s="15"/>
      <c r="S69" s="15"/>
      <c r="T69" s="14"/>
      <c r="U69" s="14"/>
      <c r="V69" s="8" t="str">
        <f aca="false">IF(AND(R69&lt;&gt;"",S69&lt;&gt;""),NETWORKDAYS(R69,S69)-1,"")</f>
        <v/>
      </c>
      <c r="W69" s="14"/>
    </row>
    <row r="70" customFormat="false" ht="15" hidden="false" customHeight="false" outlineLevel="0" collapsed="false">
      <c r="A70" s="14"/>
      <c r="B70" s="15"/>
      <c r="C70" s="14"/>
      <c r="D70" s="14"/>
      <c r="E70" s="14"/>
      <c r="F70" s="14"/>
      <c r="G70" s="14"/>
      <c r="H70" s="14"/>
      <c r="I70" s="14"/>
      <c r="J70" s="14"/>
      <c r="K70" s="14"/>
      <c r="L70" s="14"/>
      <c r="M70" s="14"/>
      <c r="N70" s="14"/>
      <c r="O70" s="14"/>
      <c r="P70" s="14"/>
      <c r="Q70" s="14"/>
      <c r="R70" s="15"/>
      <c r="S70" s="15"/>
      <c r="T70" s="14"/>
      <c r="U70" s="14"/>
      <c r="V70" s="8" t="str">
        <f aca="false">IF(AND(R70&lt;&gt;"",S70&lt;&gt;""),NETWORKDAYS(R70,S70)-1,"")</f>
        <v/>
      </c>
      <c r="W70" s="14"/>
    </row>
    <row r="71" customFormat="false" ht="15" hidden="false" customHeight="false" outlineLevel="0" collapsed="false">
      <c r="A71" s="14"/>
      <c r="B71" s="15"/>
      <c r="C71" s="14"/>
      <c r="D71" s="14"/>
      <c r="E71" s="14"/>
      <c r="F71" s="14"/>
      <c r="G71" s="14"/>
      <c r="H71" s="14"/>
      <c r="I71" s="14"/>
      <c r="J71" s="14"/>
      <c r="K71" s="14"/>
      <c r="L71" s="14"/>
      <c r="M71" s="14"/>
      <c r="N71" s="14"/>
      <c r="O71" s="14"/>
      <c r="P71" s="14"/>
      <c r="Q71" s="14"/>
      <c r="R71" s="15"/>
      <c r="S71" s="15"/>
      <c r="T71" s="14"/>
      <c r="U71" s="14"/>
      <c r="V71" s="8" t="str">
        <f aca="false">IF(AND(R71&lt;&gt;"",S71&lt;&gt;""),NETWORKDAYS(R71,S71)-1,"")</f>
        <v/>
      </c>
      <c r="W71" s="14"/>
    </row>
    <row r="72" customFormat="false" ht="15" hidden="false" customHeight="false" outlineLevel="0" collapsed="false">
      <c r="A72" s="14"/>
      <c r="B72" s="15"/>
      <c r="C72" s="14"/>
      <c r="D72" s="14"/>
      <c r="E72" s="14"/>
      <c r="F72" s="14"/>
      <c r="G72" s="14"/>
      <c r="H72" s="14"/>
      <c r="I72" s="14"/>
      <c r="J72" s="14"/>
      <c r="K72" s="14"/>
      <c r="L72" s="14"/>
      <c r="M72" s="14"/>
      <c r="N72" s="14"/>
      <c r="O72" s="14"/>
      <c r="P72" s="14"/>
      <c r="Q72" s="14"/>
      <c r="R72" s="15"/>
      <c r="S72" s="15"/>
      <c r="T72" s="14"/>
      <c r="U72" s="14"/>
      <c r="V72" s="8" t="str">
        <f aca="false">IF(AND(R72&lt;&gt;"",S72&lt;&gt;""),NETWORKDAYS(R72,S72)-1,"")</f>
        <v/>
      </c>
      <c r="W72" s="14"/>
    </row>
    <row r="73" customFormat="false" ht="15" hidden="false" customHeight="false" outlineLevel="0" collapsed="false">
      <c r="A73" s="14"/>
      <c r="B73" s="15"/>
      <c r="C73" s="14"/>
      <c r="D73" s="14"/>
      <c r="E73" s="14"/>
      <c r="F73" s="14"/>
      <c r="G73" s="14"/>
      <c r="H73" s="14"/>
      <c r="I73" s="14"/>
      <c r="J73" s="14"/>
      <c r="K73" s="14"/>
      <c r="L73" s="14"/>
      <c r="M73" s="14"/>
      <c r="N73" s="14"/>
      <c r="O73" s="14"/>
      <c r="P73" s="14"/>
      <c r="Q73" s="14"/>
      <c r="R73" s="15"/>
      <c r="S73" s="15"/>
      <c r="T73" s="14"/>
      <c r="U73" s="14"/>
      <c r="V73" s="8" t="str">
        <f aca="false">IF(AND(R73&lt;&gt;"",S73&lt;&gt;""),NETWORKDAYS(R73,S73)-1,"")</f>
        <v/>
      </c>
      <c r="W73" s="14"/>
    </row>
    <row r="74" customFormat="false" ht="15" hidden="false" customHeight="false" outlineLevel="0" collapsed="false">
      <c r="A74" s="14"/>
      <c r="B74" s="15"/>
      <c r="C74" s="14"/>
      <c r="D74" s="14"/>
      <c r="E74" s="14"/>
      <c r="F74" s="14"/>
      <c r="G74" s="14"/>
      <c r="H74" s="14"/>
      <c r="I74" s="14"/>
      <c r="J74" s="14"/>
      <c r="K74" s="14"/>
      <c r="L74" s="14"/>
      <c r="M74" s="14"/>
      <c r="N74" s="14"/>
      <c r="O74" s="14"/>
      <c r="P74" s="14"/>
      <c r="Q74" s="14"/>
      <c r="R74" s="15"/>
      <c r="S74" s="15"/>
      <c r="T74" s="14"/>
      <c r="U74" s="14"/>
      <c r="V74" s="8" t="str">
        <f aca="false">IF(AND(R74&lt;&gt;"",S74&lt;&gt;""),NETWORKDAYS(R74,S74)-1,"")</f>
        <v/>
      </c>
      <c r="W74" s="14"/>
    </row>
    <row r="75" customFormat="false" ht="15" hidden="false" customHeight="false" outlineLevel="0" collapsed="false">
      <c r="A75" s="14"/>
      <c r="B75" s="15"/>
      <c r="C75" s="14"/>
      <c r="D75" s="14"/>
      <c r="E75" s="14"/>
      <c r="F75" s="14"/>
      <c r="G75" s="14"/>
      <c r="H75" s="14"/>
      <c r="I75" s="14"/>
      <c r="J75" s="14"/>
      <c r="K75" s="14"/>
      <c r="L75" s="14"/>
      <c r="M75" s="14"/>
      <c r="N75" s="14"/>
      <c r="O75" s="14"/>
      <c r="P75" s="14"/>
      <c r="Q75" s="14"/>
      <c r="R75" s="15"/>
      <c r="S75" s="15"/>
      <c r="T75" s="14"/>
      <c r="U75" s="14"/>
      <c r="V75" s="8" t="str">
        <f aca="false">IF(AND(R75&lt;&gt;"",S75&lt;&gt;""),NETWORKDAYS(R75,S75)-1,"")</f>
        <v/>
      </c>
      <c r="W75" s="14"/>
    </row>
    <row r="76" customFormat="false" ht="15" hidden="false" customHeight="false" outlineLevel="0" collapsed="false">
      <c r="A76" s="14"/>
      <c r="B76" s="15"/>
      <c r="C76" s="14"/>
      <c r="D76" s="14"/>
      <c r="E76" s="14"/>
      <c r="F76" s="14"/>
      <c r="G76" s="14"/>
      <c r="H76" s="14"/>
      <c r="I76" s="14"/>
      <c r="J76" s="14"/>
      <c r="K76" s="14"/>
      <c r="L76" s="14"/>
      <c r="M76" s="14"/>
      <c r="N76" s="14"/>
      <c r="O76" s="14"/>
      <c r="P76" s="14"/>
      <c r="Q76" s="14"/>
      <c r="R76" s="15"/>
      <c r="S76" s="15"/>
      <c r="T76" s="14"/>
      <c r="U76" s="14"/>
      <c r="V76" s="8" t="str">
        <f aca="false">IF(AND(R76&lt;&gt;"",S76&lt;&gt;""),NETWORKDAYS(R76,S76)-1,"")</f>
        <v/>
      </c>
      <c r="W76" s="14"/>
    </row>
    <row r="77" customFormat="false" ht="15" hidden="false" customHeight="false" outlineLevel="0" collapsed="false">
      <c r="A77" s="14"/>
      <c r="B77" s="15"/>
      <c r="C77" s="14"/>
      <c r="D77" s="14"/>
      <c r="E77" s="14"/>
      <c r="F77" s="14"/>
      <c r="G77" s="14"/>
      <c r="H77" s="14"/>
      <c r="I77" s="14"/>
      <c r="J77" s="14"/>
      <c r="K77" s="14"/>
      <c r="L77" s="14"/>
      <c r="M77" s="14"/>
      <c r="N77" s="14"/>
      <c r="O77" s="14"/>
      <c r="P77" s="14"/>
      <c r="Q77" s="14"/>
      <c r="R77" s="15"/>
      <c r="S77" s="15"/>
      <c r="T77" s="14"/>
      <c r="U77" s="14"/>
      <c r="V77" s="8" t="str">
        <f aca="false">IF(AND(R77&lt;&gt;"",S77&lt;&gt;""),NETWORKDAYS(R77,S77)-1,"")</f>
        <v/>
      </c>
      <c r="W77" s="14"/>
    </row>
    <row r="78" customFormat="false" ht="15" hidden="false" customHeight="false" outlineLevel="0" collapsed="false">
      <c r="A78" s="14"/>
      <c r="B78" s="15"/>
      <c r="C78" s="14"/>
      <c r="D78" s="14"/>
      <c r="E78" s="14"/>
      <c r="F78" s="14"/>
      <c r="G78" s="14"/>
      <c r="H78" s="14"/>
      <c r="I78" s="14"/>
      <c r="J78" s="14"/>
      <c r="K78" s="14"/>
      <c r="L78" s="14"/>
      <c r="M78" s="14"/>
      <c r="N78" s="14"/>
      <c r="O78" s="14"/>
      <c r="P78" s="14"/>
      <c r="Q78" s="14"/>
      <c r="R78" s="15"/>
      <c r="S78" s="15"/>
      <c r="T78" s="14"/>
      <c r="U78" s="14"/>
      <c r="V78" s="8" t="str">
        <f aca="false">IF(AND(R78&lt;&gt;"",S78&lt;&gt;""),NETWORKDAYS(R78,S78)-1,"")</f>
        <v/>
      </c>
      <c r="W78" s="14"/>
    </row>
    <row r="79" customFormat="false" ht="15" hidden="false" customHeight="false" outlineLevel="0" collapsed="false">
      <c r="A79" s="14"/>
      <c r="B79" s="15"/>
      <c r="C79" s="14"/>
      <c r="D79" s="14"/>
      <c r="E79" s="14"/>
      <c r="F79" s="14"/>
      <c r="G79" s="14"/>
      <c r="H79" s="14"/>
      <c r="I79" s="14"/>
      <c r="J79" s="14"/>
      <c r="K79" s="14"/>
      <c r="L79" s="14"/>
      <c r="M79" s="14"/>
      <c r="N79" s="14"/>
      <c r="O79" s="14"/>
      <c r="P79" s="14"/>
      <c r="Q79" s="14"/>
      <c r="R79" s="15"/>
      <c r="S79" s="15"/>
      <c r="T79" s="14"/>
      <c r="U79" s="14"/>
      <c r="V79" s="8" t="str">
        <f aca="false">IF(AND(R79&lt;&gt;"",S79&lt;&gt;""),NETWORKDAYS(R79,S79)-1,"")</f>
        <v/>
      </c>
      <c r="W79" s="14"/>
    </row>
    <row r="80" customFormat="false" ht="15" hidden="false" customHeight="false" outlineLevel="0" collapsed="false">
      <c r="A80" s="14"/>
      <c r="B80" s="15"/>
      <c r="C80" s="14"/>
      <c r="D80" s="14"/>
      <c r="E80" s="14"/>
      <c r="F80" s="14"/>
      <c r="G80" s="14"/>
      <c r="H80" s="14"/>
      <c r="I80" s="14"/>
      <c r="J80" s="14"/>
      <c r="K80" s="14"/>
      <c r="L80" s="14"/>
      <c r="M80" s="14"/>
      <c r="N80" s="14"/>
      <c r="O80" s="14"/>
      <c r="P80" s="14"/>
      <c r="Q80" s="14"/>
      <c r="R80" s="15"/>
      <c r="S80" s="15"/>
      <c r="T80" s="14"/>
      <c r="U80" s="14"/>
      <c r="V80" s="8" t="str">
        <f aca="false">IF(AND(R80&lt;&gt;"",S80&lt;&gt;""),NETWORKDAYS(R80,S80)-1,"")</f>
        <v/>
      </c>
      <c r="W80" s="14"/>
    </row>
    <row r="81" customFormat="false" ht="15" hidden="false" customHeight="false" outlineLevel="0" collapsed="false">
      <c r="A81" s="14"/>
      <c r="B81" s="15"/>
      <c r="C81" s="14"/>
      <c r="D81" s="14"/>
      <c r="E81" s="14"/>
      <c r="F81" s="14"/>
      <c r="G81" s="14"/>
      <c r="H81" s="14"/>
      <c r="I81" s="14"/>
      <c r="J81" s="14"/>
      <c r="K81" s="14"/>
      <c r="L81" s="14"/>
      <c r="M81" s="14"/>
      <c r="N81" s="14"/>
      <c r="O81" s="14"/>
      <c r="P81" s="14"/>
      <c r="Q81" s="14"/>
      <c r="R81" s="15"/>
      <c r="S81" s="15"/>
      <c r="T81" s="14"/>
      <c r="U81" s="14"/>
      <c r="V81" s="8" t="str">
        <f aca="false">IF(AND(R81&lt;&gt;"",S81&lt;&gt;""),NETWORKDAYS(R81,S81)-1,"")</f>
        <v/>
      </c>
      <c r="W81" s="14"/>
    </row>
    <row r="82" customFormat="false" ht="15" hidden="false" customHeight="false" outlineLevel="0" collapsed="false">
      <c r="A82" s="14"/>
      <c r="B82" s="15"/>
      <c r="C82" s="14"/>
      <c r="D82" s="14"/>
      <c r="E82" s="14"/>
      <c r="F82" s="14"/>
      <c r="G82" s="14"/>
      <c r="H82" s="14"/>
      <c r="I82" s="14"/>
      <c r="J82" s="14"/>
      <c r="K82" s="14"/>
      <c r="L82" s="14"/>
      <c r="M82" s="14"/>
      <c r="N82" s="14"/>
      <c r="O82" s="14"/>
      <c r="P82" s="14"/>
      <c r="Q82" s="14"/>
      <c r="R82" s="15"/>
      <c r="S82" s="15"/>
      <c r="T82" s="14"/>
      <c r="U82" s="14"/>
      <c r="V82" s="8" t="str">
        <f aca="false">IF(AND(R82&lt;&gt;"",S82&lt;&gt;""),NETWORKDAYS(R82,S82)-1,"")</f>
        <v/>
      </c>
      <c r="W82" s="14"/>
    </row>
    <row r="83" customFormat="false" ht="15" hidden="false" customHeight="false" outlineLevel="0" collapsed="false">
      <c r="A83" s="14"/>
      <c r="B83" s="15"/>
      <c r="C83" s="14"/>
      <c r="D83" s="14"/>
      <c r="E83" s="14"/>
      <c r="F83" s="14"/>
      <c r="G83" s="14"/>
      <c r="H83" s="14"/>
      <c r="I83" s="14"/>
      <c r="J83" s="14"/>
      <c r="K83" s="14"/>
      <c r="L83" s="14"/>
      <c r="M83" s="14"/>
      <c r="N83" s="14"/>
      <c r="O83" s="14"/>
      <c r="P83" s="14"/>
      <c r="Q83" s="14"/>
      <c r="R83" s="15"/>
      <c r="S83" s="15"/>
      <c r="T83" s="14"/>
      <c r="U83" s="14"/>
      <c r="V83" s="8" t="str">
        <f aca="false">IF(AND(R83&lt;&gt;"",S83&lt;&gt;""),NETWORKDAYS(R83,S83)-1,"")</f>
        <v/>
      </c>
      <c r="W83" s="14"/>
    </row>
    <row r="84" customFormat="false" ht="15" hidden="false" customHeight="false" outlineLevel="0" collapsed="false">
      <c r="A84" s="14"/>
      <c r="B84" s="15"/>
      <c r="C84" s="14"/>
      <c r="D84" s="14"/>
      <c r="E84" s="14"/>
      <c r="F84" s="14"/>
      <c r="G84" s="14"/>
      <c r="H84" s="14"/>
      <c r="I84" s="14"/>
      <c r="J84" s="14"/>
      <c r="K84" s="14"/>
      <c r="L84" s="14"/>
      <c r="M84" s="14"/>
      <c r="N84" s="14"/>
      <c r="O84" s="14"/>
      <c r="P84" s="14"/>
      <c r="Q84" s="14"/>
      <c r="R84" s="15"/>
      <c r="S84" s="15"/>
      <c r="T84" s="14"/>
      <c r="U84" s="14"/>
      <c r="V84" s="8" t="str">
        <f aca="false">IF(AND(R84&lt;&gt;"",S84&lt;&gt;""),NETWORKDAYS(R84,S84)-1,"")</f>
        <v/>
      </c>
      <c r="W84" s="14"/>
    </row>
    <row r="85" customFormat="false" ht="15" hidden="false" customHeight="false" outlineLevel="0" collapsed="false">
      <c r="A85" s="14"/>
      <c r="B85" s="15"/>
      <c r="C85" s="14"/>
      <c r="D85" s="14"/>
      <c r="E85" s="14"/>
      <c r="F85" s="14"/>
      <c r="G85" s="14"/>
      <c r="H85" s="14"/>
      <c r="I85" s="14"/>
      <c r="J85" s="14"/>
      <c r="K85" s="14"/>
      <c r="L85" s="14"/>
      <c r="M85" s="14"/>
      <c r="N85" s="14"/>
      <c r="O85" s="14"/>
      <c r="P85" s="14"/>
      <c r="Q85" s="14"/>
      <c r="R85" s="15"/>
      <c r="S85" s="15"/>
      <c r="T85" s="14"/>
      <c r="U85" s="14"/>
      <c r="V85" s="8" t="str">
        <f aca="false">IF(AND(R85&lt;&gt;"",S85&lt;&gt;""),NETWORKDAYS(R85,S85)-1,"")</f>
        <v/>
      </c>
      <c r="W85" s="14"/>
    </row>
    <row r="86" customFormat="false" ht="15" hidden="false" customHeight="false" outlineLevel="0" collapsed="false">
      <c r="A86" s="14"/>
      <c r="B86" s="15"/>
      <c r="C86" s="14"/>
      <c r="D86" s="14"/>
      <c r="E86" s="14"/>
      <c r="F86" s="14"/>
      <c r="G86" s="14"/>
      <c r="H86" s="14"/>
      <c r="I86" s="14"/>
      <c r="J86" s="14"/>
      <c r="K86" s="14"/>
      <c r="L86" s="14"/>
      <c r="M86" s="14"/>
      <c r="N86" s="14"/>
      <c r="O86" s="14"/>
      <c r="P86" s="14"/>
      <c r="Q86" s="14"/>
      <c r="R86" s="15"/>
      <c r="S86" s="15"/>
      <c r="T86" s="14"/>
      <c r="U86" s="14"/>
      <c r="V86" s="8" t="str">
        <f aca="false">IF(AND(R86&lt;&gt;"",S86&lt;&gt;""),NETWORKDAYS(R86,S86)-1,"")</f>
        <v/>
      </c>
      <c r="W86" s="14"/>
    </row>
    <row r="87" customFormat="false" ht="15" hidden="false" customHeight="false" outlineLevel="0" collapsed="false">
      <c r="A87" s="14"/>
      <c r="B87" s="15"/>
      <c r="C87" s="14"/>
      <c r="D87" s="14"/>
      <c r="E87" s="14"/>
      <c r="F87" s="14"/>
      <c r="G87" s="14"/>
      <c r="H87" s="14"/>
      <c r="I87" s="14"/>
      <c r="J87" s="14"/>
      <c r="K87" s="14"/>
      <c r="L87" s="14"/>
      <c r="M87" s="14"/>
      <c r="N87" s="14"/>
      <c r="O87" s="14"/>
      <c r="P87" s="14"/>
      <c r="Q87" s="14"/>
      <c r="R87" s="15"/>
      <c r="S87" s="15"/>
      <c r="T87" s="14"/>
      <c r="U87" s="14"/>
      <c r="V87" s="8" t="str">
        <f aca="false">IF(AND(R87&lt;&gt;"",S87&lt;&gt;""),NETWORKDAYS(R87,S87)-1,"")</f>
        <v/>
      </c>
      <c r="W87" s="14"/>
    </row>
    <row r="88" customFormat="false" ht="15" hidden="false" customHeight="false" outlineLevel="0" collapsed="false">
      <c r="A88" s="14"/>
      <c r="B88" s="15"/>
      <c r="C88" s="14"/>
      <c r="D88" s="14"/>
      <c r="E88" s="14"/>
      <c r="F88" s="14"/>
      <c r="G88" s="14"/>
      <c r="H88" s="14"/>
      <c r="I88" s="14"/>
      <c r="J88" s="14"/>
      <c r="K88" s="14"/>
      <c r="L88" s="14"/>
      <c r="M88" s="14"/>
      <c r="N88" s="14"/>
      <c r="O88" s="14"/>
      <c r="P88" s="14"/>
      <c r="Q88" s="14"/>
      <c r="R88" s="15"/>
      <c r="S88" s="15"/>
      <c r="T88" s="14"/>
      <c r="U88" s="14"/>
      <c r="V88" s="8" t="str">
        <f aca="false">IF(AND(R88&lt;&gt;"",S88&lt;&gt;""),NETWORKDAYS(R88,S88)-1,"")</f>
        <v/>
      </c>
      <c r="W88" s="14"/>
    </row>
    <row r="89" customFormat="false" ht="15" hidden="false" customHeight="false" outlineLevel="0" collapsed="false">
      <c r="A89" s="14"/>
      <c r="B89" s="15"/>
      <c r="C89" s="14"/>
      <c r="D89" s="14"/>
      <c r="E89" s="14"/>
      <c r="F89" s="14"/>
      <c r="G89" s="14"/>
      <c r="H89" s="14"/>
      <c r="I89" s="14"/>
      <c r="J89" s="14"/>
      <c r="K89" s="14"/>
      <c r="L89" s="14"/>
      <c r="M89" s="14"/>
      <c r="N89" s="14"/>
      <c r="O89" s="14"/>
      <c r="P89" s="14"/>
      <c r="Q89" s="14"/>
      <c r="R89" s="15"/>
      <c r="S89" s="15"/>
      <c r="T89" s="14"/>
      <c r="U89" s="14"/>
      <c r="V89" s="8" t="str">
        <f aca="false">IF(AND(R89&lt;&gt;"",S89&lt;&gt;""),NETWORKDAYS(R89,S89)-1,"")</f>
        <v/>
      </c>
      <c r="W89" s="14"/>
    </row>
    <row r="90" customFormat="false" ht="15" hidden="false" customHeight="false" outlineLevel="0" collapsed="false">
      <c r="A90" s="14"/>
      <c r="B90" s="15"/>
      <c r="C90" s="14"/>
      <c r="D90" s="14"/>
      <c r="E90" s="14"/>
      <c r="F90" s="14"/>
      <c r="G90" s="14"/>
      <c r="H90" s="14"/>
      <c r="I90" s="14"/>
      <c r="J90" s="14"/>
      <c r="K90" s="14"/>
      <c r="L90" s="14"/>
      <c r="M90" s="14"/>
      <c r="N90" s="14"/>
      <c r="O90" s="14"/>
      <c r="P90" s="14"/>
      <c r="Q90" s="14"/>
      <c r="R90" s="15"/>
      <c r="S90" s="15"/>
      <c r="T90" s="14"/>
      <c r="U90" s="14"/>
      <c r="V90" s="8" t="str">
        <f aca="false">IF(AND(R90&lt;&gt;"",S90&lt;&gt;""),NETWORKDAYS(R90,S90)-1,"")</f>
        <v/>
      </c>
      <c r="W90" s="14"/>
    </row>
    <row r="91" customFormat="false" ht="15" hidden="false" customHeight="false" outlineLevel="0" collapsed="false">
      <c r="A91" s="14"/>
      <c r="B91" s="15"/>
      <c r="C91" s="14"/>
      <c r="D91" s="14"/>
      <c r="E91" s="14"/>
      <c r="F91" s="14"/>
      <c r="G91" s="14"/>
      <c r="H91" s="14"/>
      <c r="I91" s="14"/>
      <c r="J91" s="14"/>
      <c r="K91" s="14"/>
      <c r="L91" s="14"/>
      <c r="M91" s="14"/>
      <c r="N91" s="14"/>
      <c r="O91" s="14"/>
      <c r="P91" s="14"/>
      <c r="Q91" s="14"/>
      <c r="R91" s="15"/>
      <c r="S91" s="15"/>
      <c r="T91" s="14"/>
      <c r="U91" s="14"/>
      <c r="V91" s="8" t="str">
        <f aca="false">IF(AND(R91&lt;&gt;"",S91&lt;&gt;""),NETWORKDAYS(R91,S91)-1,"")</f>
        <v/>
      </c>
      <c r="W91" s="14"/>
    </row>
    <row r="92" customFormat="false" ht="15" hidden="false" customHeight="false" outlineLevel="0" collapsed="false">
      <c r="A92" s="14"/>
      <c r="B92" s="15"/>
      <c r="C92" s="14"/>
      <c r="D92" s="14"/>
      <c r="E92" s="14"/>
      <c r="F92" s="14"/>
      <c r="G92" s="14"/>
      <c r="H92" s="14"/>
      <c r="I92" s="14"/>
      <c r="J92" s="14"/>
      <c r="K92" s="14"/>
      <c r="L92" s="14"/>
      <c r="M92" s="14"/>
      <c r="N92" s="14"/>
      <c r="O92" s="14"/>
      <c r="P92" s="14"/>
      <c r="Q92" s="14"/>
      <c r="R92" s="15"/>
      <c r="S92" s="15"/>
      <c r="T92" s="14"/>
      <c r="U92" s="14"/>
      <c r="V92" s="8" t="str">
        <f aca="false">IF(AND(R92&lt;&gt;"",S92&lt;&gt;""),NETWORKDAYS(R92,S92)-1,"")</f>
        <v/>
      </c>
      <c r="W92" s="14"/>
    </row>
    <row r="93" customFormat="false" ht="15" hidden="false" customHeight="false" outlineLevel="0" collapsed="false">
      <c r="A93" s="14"/>
      <c r="B93" s="15"/>
      <c r="C93" s="14"/>
      <c r="D93" s="14"/>
      <c r="E93" s="14"/>
      <c r="F93" s="14"/>
      <c r="G93" s="14"/>
      <c r="H93" s="14"/>
      <c r="I93" s="14"/>
      <c r="J93" s="14"/>
      <c r="K93" s="14"/>
      <c r="L93" s="14"/>
      <c r="M93" s="14"/>
      <c r="N93" s="14"/>
      <c r="O93" s="14"/>
      <c r="P93" s="14"/>
      <c r="Q93" s="14"/>
      <c r="R93" s="15"/>
      <c r="S93" s="15"/>
      <c r="T93" s="14"/>
      <c r="U93" s="14"/>
      <c r="V93" s="8" t="str">
        <f aca="false">IF(AND(R93&lt;&gt;"",S93&lt;&gt;""),NETWORKDAYS(R93,S93)-1,"")</f>
        <v/>
      </c>
      <c r="W93" s="14"/>
    </row>
    <row r="94" customFormat="false" ht="15" hidden="false" customHeight="false" outlineLevel="0" collapsed="false">
      <c r="A94" s="14"/>
      <c r="B94" s="15"/>
      <c r="C94" s="14"/>
      <c r="D94" s="14"/>
      <c r="E94" s="14"/>
      <c r="F94" s="14"/>
      <c r="G94" s="14"/>
      <c r="H94" s="14"/>
      <c r="I94" s="14"/>
      <c r="J94" s="14"/>
      <c r="K94" s="14"/>
      <c r="L94" s="14"/>
      <c r="M94" s="14"/>
      <c r="N94" s="14"/>
      <c r="O94" s="14"/>
      <c r="P94" s="14"/>
      <c r="Q94" s="14"/>
      <c r="R94" s="15"/>
      <c r="S94" s="15"/>
      <c r="T94" s="14"/>
      <c r="U94" s="14"/>
      <c r="V94" s="8" t="str">
        <f aca="false">IF(AND(R94&lt;&gt;"",S94&lt;&gt;""),NETWORKDAYS(R94,S94)-1,"")</f>
        <v/>
      </c>
      <c r="W94" s="14"/>
    </row>
    <row r="95" customFormat="false" ht="15" hidden="false" customHeight="false" outlineLevel="0" collapsed="false">
      <c r="A95" s="14"/>
      <c r="B95" s="15"/>
      <c r="C95" s="14"/>
      <c r="D95" s="14"/>
      <c r="E95" s="14"/>
      <c r="F95" s="14"/>
      <c r="G95" s="14"/>
      <c r="H95" s="14"/>
      <c r="I95" s="14"/>
      <c r="J95" s="14"/>
      <c r="K95" s="14"/>
      <c r="L95" s="14"/>
      <c r="M95" s="14"/>
      <c r="N95" s="14"/>
      <c r="O95" s="14"/>
      <c r="P95" s="14"/>
      <c r="Q95" s="14"/>
      <c r="R95" s="15"/>
      <c r="S95" s="15"/>
      <c r="T95" s="14"/>
      <c r="U95" s="14"/>
      <c r="V95" s="8" t="str">
        <f aca="false">IF(AND(R95&lt;&gt;"",S95&lt;&gt;""),NETWORKDAYS(R95,S95)-1,"")</f>
        <v/>
      </c>
      <c r="W95" s="14"/>
    </row>
    <row r="96" customFormat="false" ht="15" hidden="false" customHeight="false" outlineLevel="0" collapsed="false">
      <c r="A96" s="14"/>
      <c r="B96" s="15"/>
      <c r="C96" s="14"/>
      <c r="D96" s="14"/>
      <c r="E96" s="14"/>
      <c r="F96" s="14"/>
      <c r="G96" s="14"/>
      <c r="H96" s="14"/>
      <c r="I96" s="14"/>
      <c r="J96" s="14"/>
      <c r="K96" s="14"/>
      <c r="L96" s="14"/>
      <c r="M96" s="14"/>
      <c r="N96" s="14"/>
      <c r="O96" s="14"/>
      <c r="P96" s="14"/>
      <c r="Q96" s="14"/>
      <c r="R96" s="15"/>
      <c r="S96" s="15"/>
      <c r="T96" s="14"/>
      <c r="U96" s="14"/>
      <c r="V96" s="8" t="str">
        <f aca="false">IF(AND(R96&lt;&gt;"",S96&lt;&gt;""),NETWORKDAYS(R96,S96)-1,"")</f>
        <v/>
      </c>
      <c r="W96" s="14"/>
    </row>
    <row r="97" customFormat="false" ht="15" hidden="false" customHeight="false" outlineLevel="0" collapsed="false">
      <c r="A97" s="14"/>
      <c r="B97" s="15"/>
      <c r="C97" s="14"/>
      <c r="D97" s="14"/>
      <c r="E97" s="14"/>
      <c r="F97" s="14"/>
      <c r="G97" s="14"/>
      <c r="H97" s="14"/>
      <c r="I97" s="14"/>
      <c r="J97" s="14"/>
      <c r="K97" s="14"/>
      <c r="L97" s="14"/>
      <c r="M97" s="14"/>
      <c r="N97" s="14"/>
      <c r="O97" s="14"/>
      <c r="P97" s="14"/>
      <c r="Q97" s="14"/>
      <c r="R97" s="15"/>
      <c r="S97" s="15"/>
      <c r="T97" s="14"/>
      <c r="U97" s="14"/>
      <c r="V97" s="8" t="str">
        <f aca="false">IF(AND(R97&lt;&gt;"",S97&lt;&gt;""),NETWORKDAYS(R97,S97)-1,"")</f>
        <v/>
      </c>
      <c r="W97" s="14"/>
    </row>
    <row r="98" customFormat="false" ht="15" hidden="false" customHeight="false" outlineLevel="0" collapsed="false">
      <c r="A98" s="14"/>
      <c r="B98" s="15"/>
      <c r="C98" s="14"/>
      <c r="D98" s="14"/>
      <c r="E98" s="14"/>
      <c r="F98" s="14"/>
      <c r="G98" s="14"/>
      <c r="H98" s="14"/>
      <c r="I98" s="14"/>
      <c r="J98" s="14"/>
      <c r="K98" s="14"/>
      <c r="L98" s="14"/>
      <c r="M98" s="14"/>
      <c r="N98" s="14"/>
      <c r="O98" s="14"/>
      <c r="P98" s="14"/>
      <c r="Q98" s="14"/>
      <c r="R98" s="15"/>
      <c r="S98" s="15"/>
      <c r="T98" s="14"/>
      <c r="U98" s="14"/>
      <c r="V98" s="8" t="str">
        <f aca="false">IF(AND(R98&lt;&gt;"",S98&lt;&gt;""),NETWORKDAYS(R98,S98)-1,"")</f>
        <v/>
      </c>
      <c r="W98" s="14"/>
    </row>
    <row r="99" customFormat="false" ht="15" hidden="false" customHeight="false" outlineLevel="0" collapsed="false">
      <c r="A99" s="14"/>
      <c r="B99" s="15"/>
      <c r="C99" s="14"/>
      <c r="D99" s="14"/>
      <c r="E99" s="14"/>
      <c r="F99" s="14"/>
      <c r="G99" s="14"/>
      <c r="H99" s="14"/>
      <c r="I99" s="14"/>
      <c r="J99" s="14"/>
      <c r="K99" s="14"/>
      <c r="L99" s="14"/>
      <c r="M99" s="14"/>
      <c r="N99" s="14"/>
      <c r="O99" s="14"/>
      <c r="P99" s="14"/>
      <c r="Q99" s="14"/>
      <c r="R99" s="15"/>
      <c r="S99" s="15"/>
      <c r="T99" s="14"/>
      <c r="U99" s="14"/>
      <c r="V99" s="8" t="str">
        <f aca="false">IF(AND(R99&lt;&gt;"",S99&lt;&gt;""),NETWORKDAYS(R99,S99)-1,"")</f>
        <v/>
      </c>
      <c r="W99" s="14"/>
    </row>
    <row r="100" customFormat="false" ht="15" hidden="false" customHeight="false" outlineLevel="0" collapsed="false">
      <c r="A100" s="14"/>
      <c r="B100" s="15"/>
      <c r="C100" s="14"/>
      <c r="D100" s="14"/>
      <c r="E100" s="14"/>
      <c r="F100" s="14"/>
      <c r="G100" s="14"/>
      <c r="H100" s="14"/>
      <c r="I100" s="14"/>
      <c r="J100" s="14"/>
      <c r="K100" s="14"/>
      <c r="L100" s="14"/>
      <c r="M100" s="14"/>
      <c r="N100" s="14"/>
      <c r="O100" s="14"/>
      <c r="P100" s="14"/>
      <c r="Q100" s="14"/>
      <c r="R100" s="15"/>
      <c r="S100" s="15"/>
      <c r="T100" s="14"/>
      <c r="U100" s="14"/>
      <c r="V100" s="8" t="str">
        <f aca="false">IF(AND(R100&lt;&gt;"",S100&lt;&gt;""),NETWORKDAYS(R100,S100)-1,"")</f>
        <v/>
      </c>
      <c r="W100" s="14"/>
    </row>
    <row r="101" customFormat="false" ht="15" hidden="false" customHeight="false" outlineLevel="0" collapsed="false">
      <c r="A101" s="14"/>
      <c r="B101" s="15"/>
      <c r="C101" s="14"/>
      <c r="D101" s="14"/>
      <c r="E101" s="14"/>
      <c r="F101" s="14"/>
      <c r="G101" s="14"/>
      <c r="H101" s="14"/>
      <c r="I101" s="14"/>
      <c r="J101" s="14"/>
      <c r="K101" s="14"/>
      <c r="L101" s="14"/>
      <c r="M101" s="14"/>
      <c r="N101" s="14"/>
      <c r="O101" s="14"/>
      <c r="P101" s="14"/>
      <c r="Q101" s="14"/>
      <c r="R101" s="15"/>
      <c r="S101" s="15"/>
      <c r="T101" s="14"/>
      <c r="U101" s="14"/>
      <c r="V101" s="8" t="str">
        <f aca="false">IF(AND(R101&lt;&gt;"",S101&lt;&gt;""),NETWORKDAYS(R101,S101)-1,"")</f>
        <v/>
      </c>
      <c r="W101" s="14"/>
    </row>
    <row r="102" customFormat="false" ht="15" hidden="false" customHeight="false" outlineLevel="0" collapsed="false">
      <c r="A102" s="14"/>
      <c r="B102" s="15"/>
      <c r="C102" s="14"/>
      <c r="D102" s="14"/>
      <c r="E102" s="14"/>
      <c r="F102" s="14"/>
      <c r="G102" s="14"/>
      <c r="H102" s="14"/>
      <c r="I102" s="14"/>
      <c r="J102" s="14"/>
      <c r="K102" s="14"/>
      <c r="L102" s="14"/>
      <c r="M102" s="14"/>
      <c r="N102" s="14"/>
      <c r="O102" s="14"/>
      <c r="P102" s="14"/>
      <c r="Q102" s="14"/>
      <c r="R102" s="15"/>
      <c r="S102" s="15"/>
      <c r="T102" s="14"/>
      <c r="U102" s="14"/>
      <c r="V102" s="8" t="str">
        <f aca="false">IF(AND(R102&lt;&gt;"",S102&lt;&gt;""),NETWORKDAYS(R102,S102)-1,"")</f>
        <v/>
      </c>
      <c r="W102" s="14"/>
    </row>
    <row r="103" customFormat="false" ht="15" hidden="false" customHeight="false" outlineLevel="0" collapsed="false">
      <c r="A103" s="14"/>
      <c r="B103" s="15"/>
      <c r="C103" s="14"/>
      <c r="D103" s="14"/>
      <c r="E103" s="14"/>
      <c r="F103" s="14"/>
      <c r="G103" s="14"/>
      <c r="H103" s="14"/>
      <c r="I103" s="14"/>
      <c r="J103" s="14"/>
      <c r="K103" s="14"/>
      <c r="L103" s="14"/>
      <c r="M103" s="14"/>
      <c r="N103" s="14"/>
      <c r="O103" s="14"/>
      <c r="P103" s="14"/>
      <c r="Q103" s="14"/>
      <c r="R103" s="15"/>
      <c r="S103" s="15"/>
      <c r="T103" s="14"/>
      <c r="U103" s="14"/>
      <c r="V103" s="8" t="str">
        <f aca="false">IF(AND(R103&lt;&gt;"",S103&lt;&gt;""),NETWORKDAYS(R103,S103)-1,"")</f>
        <v/>
      </c>
      <c r="W103" s="14"/>
    </row>
    <row r="104" customFormat="false" ht="15" hidden="false" customHeight="false" outlineLevel="0" collapsed="false">
      <c r="A104" s="14"/>
      <c r="B104" s="15"/>
      <c r="C104" s="14"/>
      <c r="D104" s="14"/>
      <c r="E104" s="14"/>
      <c r="F104" s="14"/>
      <c r="G104" s="14"/>
      <c r="H104" s="14"/>
      <c r="I104" s="14"/>
      <c r="J104" s="14"/>
      <c r="K104" s="14"/>
      <c r="L104" s="14"/>
      <c r="M104" s="14"/>
      <c r="N104" s="14"/>
      <c r="O104" s="14"/>
      <c r="P104" s="14"/>
      <c r="Q104" s="14"/>
      <c r="R104" s="15"/>
      <c r="S104" s="15"/>
      <c r="T104" s="14"/>
      <c r="U104" s="14"/>
      <c r="V104" s="8" t="str">
        <f aca="false">IF(AND(R104&lt;&gt;"",S104&lt;&gt;""),NETWORKDAYS(R104,S104)-1,"")</f>
        <v/>
      </c>
      <c r="W104" s="14"/>
    </row>
    <row r="105" customFormat="false" ht="15" hidden="false" customHeight="false" outlineLevel="0" collapsed="false">
      <c r="A105" s="14"/>
      <c r="B105" s="15"/>
      <c r="C105" s="14"/>
      <c r="D105" s="14"/>
      <c r="E105" s="14"/>
      <c r="F105" s="14"/>
      <c r="G105" s="14"/>
      <c r="H105" s="14"/>
      <c r="I105" s="14"/>
      <c r="J105" s="14"/>
      <c r="K105" s="14"/>
      <c r="L105" s="14"/>
      <c r="M105" s="14"/>
      <c r="N105" s="14"/>
      <c r="O105" s="14"/>
      <c r="P105" s="14"/>
      <c r="Q105" s="14"/>
      <c r="R105" s="15"/>
      <c r="S105" s="15"/>
      <c r="T105" s="14"/>
      <c r="U105" s="14"/>
      <c r="V105" s="8" t="str">
        <f aca="false">IF(AND(R105&lt;&gt;"",S105&lt;&gt;""),NETWORKDAYS(R105,S105)-1,"")</f>
        <v/>
      </c>
      <c r="W105" s="14"/>
    </row>
    <row r="106" customFormat="false" ht="15" hidden="false" customHeight="false" outlineLevel="0" collapsed="false">
      <c r="A106" s="14"/>
      <c r="B106" s="15"/>
      <c r="C106" s="14"/>
      <c r="D106" s="14"/>
      <c r="E106" s="14"/>
      <c r="F106" s="14"/>
      <c r="G106" s="14"/>
      <c r="H106" s="14"/>
      <c r="I106" s="14"/>
      <c r="J106" s="14"/>
      <c r="K106" s="14"/>
      <c r="L106" s="14"/>
      <c r="M106" s="14"/>
      <c r="N106" s="14"/>
      <c r="O106" s="14"/>
      <c r="P106" s="14"/>
      <c r="Q106" s="14"/>
      <c r="R106" s="15"/>
      <c r="S106" s="15"/>
      <c r="T106" s="14"/>
      <c r="U106" s="14"/>
      <c r="V106" s="8" t="str">
        <f aca="false">IF(AND(R106&lt;&gt;"",S106&lt;&gt;""),NETWORKDAYS(R106,S106)-1,"")</f>
        <v/>
      </c>
      <c r="W106" s="14"/>
    </row>
    <row r="107" customFormat="false" ht="15" hidden="false" customHeight="false" outlineLevel="0" collapsed="false">
      <c r="A107" s="14"/>
      <c r="B107" s="15"/>
      <c r="C107" s="14"/>
      <c r="D107" s="14"/>
      <c r="E107" s="14"/>
      <c r="F107" s="14"/>
      <c r="G107" s="14"/>
      <c r="H107" s="14"/>
      <c r="I107" s="14"/>
      <c r="J107" s="14"/>
      <c r="K107" s="14"/>
      <c r="L107" s="14"/>
      <c r="M107" s="14"/>
      <c r="N107" s="14"/>
      <c r="O107" s="14"/>
      <c r="P107" s="14"/>
      <c r="Q107" s="14"/>
      <c r="R107" s="15"/>
      <c r="S107" s="15"/>
      <c r="T107" s="14"/>
      <c r="U107" s="14"/>
      <c r="V107" s="8" t="str">
        <f aca="false">IF(AND(R107&lt;&gt;"",S107&lt;&gt;""),NETWORKDAYS(R107,S107)-1,"")</f>
        <v/>
      </c>
      <c r="W107" s="14"/>
    </row>
    <row r="108" customFormat="false" ht="15" hidden="false" customHeight="false" outlineLevel="0" collapsed="false">
      <c r="A108" s="14"/>
      <c r="B108" s="15"/>
      <c r="C108" s="14"/>
      <c r="D108" s="14"/>
      <c r="E108" s="14"/>
      <c r="F108" s="14"/>
      <c r="G108" s="14"/>
      <c r="H108" s="14"/>
      <c r="I108" s="14"/>
      <c r="J108" s="14"/>
      <c r="K108" s="14"/>
      <c r="L108" s="14"/>
      <c r="M108" s="14"/>
      <c r="N108" s="14"/>
      <c r="O108" s="14"/>
      <c r="P108" s="14"/>
      <c r="Q108" s="14"/>
      <c r="R108" s="15"/>
      <c r="S108" s="15"/>
      <c r="T108" s="14"/>
      <c r="U108" s="14"/>
      <c r="V108" s="8" t="str">
        <f aca="false">IF(AND(R108&lt;&gt;"",S108&lt;&gt;""),NETWORKDAYS(R108,S108)-1,"")</f>
        <v/>
      </c>
      <c r="W108" s="14"/>
    </row>
    <row r="109" customFormat="false" ht="15" hidden="false" customHeight="false" outlineLevel="0" collapsed="false">
      <c r="A109" s="14"/>
      <c r="B109" s="15"/>
      <c r="C109" s="14"/>
      <c r="D109" s="14"/>
      <c r="E109" s="14"/>
      <c r="F109" s="14"/>
      <c r="G109" s="14"/>
      <c r="H109" s="14"/>
      <c r="I109" s="14"/>
      <c r="J109" s="14"/>
      <c r="K109" s="14"/>
      <c r="L109" s="14"/>
      <c r="M109" s="14"/>
      <c r="N109" s="14"/>
      <c r="O109" s="14"/>
      <c r="P109" s="14"/>
      <c r="Q109" s="14"/>
      <c r="R109" s="15"/>
      <c r="S109" s="15"/>
      <c r="T109" s="14"/>
      <c r="U109" s="14"/>
      <c r="V109" s="8" t="str">
        <f aca="false">IF(AND(R109&lt;&gt;"",S109&lt;&gt;""),NETWORKDAYS(R109,S109)-1,"")</f>
        <v/>
      </c>
      <c r="W109" s="14"/>
    </row>
    <row r="110" customFormat="false" ht="15" hidden="false" customHeight="false" outlineLevel="0" collapsed="false">
      <c r="A110" s="14"/>
      <c r="B110" s="15"/>
      <c r="C110" s="14"/>
      <c r="D110" s="14"/>
      <c r="E110" s="14"/>
      <c r="F110" s="14"/>
      <c r="G110" s="14"/>
      <c r="H110" s="14"/>
      <c r="I110" s="14"/>
      <c r="J110" s="14"/>
      <c r="K110" s="14"/>
      <c r="L110" s="14"/>
      <c r="M110" s="14"/>
      <c r="N110" s="14"/>
      <c r="O110" s="14"/>
      <c r="P110" s="14"/>
      <c r="Q110" s="14"/>
      <c r="R110" s="15"/>
      <c r="S110" s="15"/>
      <c r="T110" s="14"/>
      <c r="U110" s="14"/>
      <c r="V110" s="8" t="str">
        <f aca="false">IF(AND(R110&lt;&gt;"",S110&lt;&gt;""),NETWORKDAYS(R110,S110)-1,"")</f>
        <v/>
      </c>
      <c r="W110" s="14"/>
    </row>
    <row r="111" customFormat="false" ht="15" hidden="false" customHeight="false" outlineLevel="0" collapsed="false">
      <c r="A111" s="14"/>
      <c r="B111" s="15"/>
      <c r="C111" s="14"/>
      <c r="D111" s="14"/>
      <c r="E111" s="14"/>
      <c r="F111" s="14"/>
      <c r="G111" s="14"/>
      <c r="H111" s="14"/>
      <c r="I111" s="14"/>
      <c r="J111" s="14"/>
      <c r="K111" s="14"/>
      <c r="L111" s="14"/>
      <c r="M111" s="14"/>
      <c r="N111" s="14"/>
      <c r="O111" s="14"/>
      <c r="P111" s="14"/>
      <c r="Q111" s="14"/>
      <c r="R111" s="15"/>
      <c r="S111" s="15"/>
      <c r="T111" s="14"/>
      <c r="U111" s="14"/>
      <c r="V111" s="8" t="str">
        <f aca="false">IF(AND(R111&lt;&gt;"",S111&lt;&gt;""),NETWORKDAYS(R111,S111)-1,"")</f>
        <v/>
      </c>
      <c r="W111" s="14"/>
    </row>
    <row r="112" customFormat="false" ht="15" hidden="false" customHeight="false" outlineLevel="0" collapsed="false">
      <c r="A112" s="14"/>
      <c r="B112" s="15"/>
      <c r="C112" s="14"/>
      <c r="D112" s="14"/>
      <c r="E112" s="14"/>
      <c r="F112" s="14"/>
      <c r="G112" s="14"/>
      <c r="H112" s="14"/>
      <c r="I112" s="14"/>
      <c r="J112" s="14"/>
      <c r="K112" s="14"/>
      <c r="L112" s="14"/>
      <c r="M112" s="14"/>
      <c r="N112" s="14"/>
      <c r="O112" s="14"/>
      <c r="P112" s="14"/>
      <c r="Q112" s="14"/>
      <c r="R112" s="15"/>
      <c r="S112" s="15"/>
      <c r="T112" s="14"/>
      <c r="U112" s="14"/>
      <c r="V112" s="8" t="str">
        <f aca="false">IF(AND(R112&lt;&gt;"",S112&lt;&gt;""),NETWORKDAYS(R112,S112)-1,"")</f>
        <v/>
      </c>
      <c r="W112" s="14"/>
    </row>
    <row r="113" customFormat="false" ht="15" hidden="false" customHeight="false" outlineLevel="0" collapsed="false">
      <c r="A113" s="14"/>
      <c r="B113" s="15"/>
      <c r="C113" s="14"/>
      <c r="D113" s="14"/>
      <c r="E113" s="14"/>
      <c r="F113" s="14"/>
      <c r="G113" s="14"/>
      <c r="H113" s="14"/>
      <c r="I113" s="14"/>
      <c r="J113" s="14"/>
      <c r="K113" s="14"/>
      <c r="L113" s="14"/>
      <c r="M113" s="14"/>
      <c r="N113" s="14"/>
      <c r="O113" s="14"/>
      <c r="P113" s="14"/>
      <c r="Q113" s="14"/>
      <c r="R113" s="15"/>
      <c r="S113" s="15"/>
      <c r="T113" s="14"/>
      <c r="U113" s="14"/>
      <c r="V113" s="8" t="str">
        <f aca="false">IF(AND(R113&lt;&gt;"",S113&lt;&gt;""),NETWORKDAYS(R113,S113)-1,"")</f>
        <v/>
      </c>
      <c r="W113" s="14"/>
    </row>
    <row r="114" customFormat="false" ht="15" hidden="false" customHeight="false" outlineLevel="0" collapsed="false">
      <c r="A114" s="14"/>
      <c r="B114" s="15"/>
      <c r="C114" s="14"/>
      <c r="D114" s="14"/>
      <c r="E114" s="14"/>
      <c r="F114" s="14"/>
      <c r="G114" s="14"/>
      <c r="H114" s="14"/>
      <c r="I114" s="14"/>
      <c r="J114" s="14"/>
      <c r="K114" s="14"/>
      <c r="L114" s="14"/>
      <c r="M114" s="14"/>
      <c r="N114" s="14"/>
      <c r="O114" s="14"/>
      <c r="P114" s="14"/>
      <c r="Q114" s="14"/>
      <c r="R114" s="15"/>
      <c r="S114" s="15"/>
      <c r="T114" s="14"/>
      <c r="U114" s="14"/>
      <c r="V114" s="8" t="str">
        <f aca="false">IF(AND(R114&lt;&gt;"",S114&lt;&gt;""),NETWORKDAYS(R114,S114)-1,"")</f>
        <v/>
      </c>
      <c r="W114" s="14"/>
    </row>
    <row r="115" customFormat="false" ht="15" hidden="false" customHeight="false" outlineLevel="0" collapsed="false">
      <c r="A115" s="14"/>
      <c r="B115" s="15"/>
      <c r="C115" s="14"/>
      <c r="D115" s="14"/>
      <c r="E115" s="14"/>
      <c r="F115" s="14"/>
      <c r="G115" s="14"/>
      <c r="H115" s="14"/>
      <c r="I115" s="14"/>
      <c r="J115" s="14"/>
      <c r="K115" s="14"/>
      <c r="L115" s="14"/>
      <c r="M115" s="14"/>
      <c r="N115" s="14"/>
      <c r="O115" s="14"/>
      <c r="P115" s="14"/>
      <c r="Q115" s="14"/>
      <c r="R115" s="15"/>
      <c r="S115" s="15"/>
      <c r="T115" s="14"/>
      <c r="U115" s="14"/>
      <c r="V115" s="8" t="str">
        <f aca="false">IF(AND(R115&lt;&gt;"",S115&lt;&gt;""),NETWORKDAYS(R115,S115)-1,"")</f>
        <v/>
      </c>
      <c r="W115" s="14"/>
    </row>
    <row r="116" customFormat="false" ht="15" hidden="false" customHeight="false" outlineLevel="0" collapsed="false">
      <c r="A116" s="14"/>
      <c r="B116" s="15"/>
      <c r="C116" s="14"/>
      <c r="D116" s="14"/>
      <c r="E116" s="14"/>
      <c r="F116" s="14"/>
      <c r="G116" s="14"/>
      <c r="H116" s="14"/>
      <c r="I116" s="14"/>
      <c r="J116" s="14"/>
      <c r="K116" s="14"/>
      <c r="L116" s="14"/>
      <c r="M116" s="14"/>
      <c r="N116" s="14"/>
      <c r="O116" s="14"/>
      <c r="P116" s="14"/>
      <c r="Q116" s="14"/>
      <c r="R116" s="15"/>
      <c r="S116" s="15"/>
      <c r="T116" s="14"/>
      <c r="U116" s="14"/>
      <c r="V116" s="8" t="str">
        <f aca="false">IF(AND(R116&lt;&gt;"",S116&lt;&gt;""),NETWORKDAYS(R116,S116)-1,"")</f>
        <v/>
      </c>
      <c r="W116" s="14"/>
    </row>
    <row r="117" customFormat="false" ht="15" hidden="false" customHeight="false" outlineLevel="0" collapsed="false">
      <c r="A117" s="14"/>
      <c r="B117" s="15"/>
      <c r="C117" s="14"/>
      <c r="D117" s="14"/>
      <c r="E117" s="14"/>
      <c r="F117" s="14"/>
      <c r="G117" s="14"/>
      <c r="H117" s="14"/>
      <c r="I117" s="14"/>
      <c r="J117" s="14"/>
      <c r="K117" s="14"/>
      <c r="L117" s="14"/>
      <c r="M117" s="14"/>
      <c r="N117" s="14"/>
      <c r="O117" s="14"/>
      <c r="P117" s="14"/>
      <c r="Q117" s="14"/>
      <c r="R117" s="15"/>
      <c r="S117" s="15"/>
      <c r="T117" s="14"/>
      <c r="U117" s="14"/>
      <c r="V117" s="8" t="str">
        <f aca="false">IF(AND(R117&lt;&gt;"",S117&lt;&gt;""),NETWORKDAYS(R117,S117)-1,"")</f>
        <v/>
      </c>
      <c r="W117" s="14"/>
    </row>
    <row r="118" customFormat="false" ht="15" hidden="false" customHeight="false" outlineLevel="0" collapsed="false">
      <c r="A118" s="14"/>
      <c r="B118" s="15"/>
      <c r="C118" s="14"/>
      <c r="D118" s="14"/>
      <c r="E118" s="14"/>
      <c r="F118" s="14"/>
      <c r="G118" s="14"/>
      <c r="H118" s="14"/>
      <c r="I118" s="14"/>
      <c r="J118" s="14"/>
      <c r="K118" s="14"/>
      <c r="L118" s="14"/>
      <c r="M118" s="14"/>
      <c r="N118" s="14"/>
      <c r="O118" s="14"/>
      <c r="P118" s="14"/>
      <c r="Q118" s="14"/>
      <c r="R118" s="15"/>
      <c r="S118" s="15"/>
      <c r="T118" s="14"/>
      <c r="U118" s="14"/>
      <c r="V118" s="8" t="str">
        <f aca="false">IF(AND(R118&lt;&gt;"",S118&lt;&gt;""),NETWORKDAYS(R118,S118)-1,"")</f>
        <v/>
      </c>
      <c r="W118" s="14"/>
    </row>
    <row r="119" customFormat="false" ht="15" hidden="false" customHeight="false" outlineLevel="0" collapsed="false">
      <c r="A119" s="14"/>
      <c r="B119" s="15"/>
      <c r="C119" s="14"/>
      <c r="D119" s="14"/>
      <c r="E119" s="14"/>
      <c r="F119" s="14"/>
      <c r="G119" s="14"/>
      <c r="H119" s="14"/>
      <c r="I119" s="14"/>
      <c r="J119" s="14"/>
      <c r="K119" s="14"/>
      <c r="L119" s="14"/>
      <c r="M119" s="14"/>
      <c r="N119" s="14"/>
      <c r="O119" s="14"/>
      <c r="P119" s="14"/>
      <c r="Q119" s="14"/>
      <c r="R119" s="15"/>
      <c r="S119" s="15"/>
      <c r="T119" s="14"/>
      <c r="U119" s="14"/>
      <c r="V119" s="8" t="str">
        <f aca="false">IF(AND(R119&lt;&gt;"",S119&lt;&gt;""),NETWORKDAYS(R119,S119)-1,"")</f>
        <v/>
      </c>
      <c r="W119" s="14"/>
    </row>
    <row r="120" customFormat="false" ht="15" hidden="false" customHeight="false" outlineLevel="0" collapsed="false">
      <c r="A120" s="14"/>
      <c r="B120" s="15"/>
      <c r="C120" s="14"/>
      <c r="D120" s="14"/>
      <c r="E120" s="14"/>
      <c r="F120" s="14"/>
      <c r="G120" s="14"/>
      <c r="H120" s="14"/>
      <c r="I120" s="14"/>
      <c r="J120" s="14"/>
      <c r="K120" s="14"/>
      <c r="L120" s="14"/>
      <c r="M120" s="14"/>
      <c r="N120" s="14"/>
      <c r="O120" s="14"/>
      <c r="P120" s="14"/>
      <c r="Q120" s="14"/>
      <c r="R120" s="15"/>
      <c r="S120" s="15"/>
      <c r="T120" s="14"/>
      <c r="U120" s="14"/>
      <c r="V120" s="8" t="str">
        <f aca="false">IF(AND(R120&lt;&gt;"",S120&lt;&gt;""),NETWORKDAYS(R120,S120)-1,"")</f>
        <v/>
      </c>
      <c r="W120" s="14"/>
    </row>
    <row r="121" customFormat="false" ht="15" hidden="false" customHeight="false" outlineLevel="0" collapsed="false">
      <c r="A121" s="14"/>
      <c r="B121" s="15"/>
      <c r="C121" s="14"/>
      <c r="D121" s="14"/>
      <c r="E121" s="14"/>
      <c r="F121" s="14"/>
      <c r="G121" s="14"/>
      <c r="H121" s="14"/>
      <c r="I121" s="14"/>
      <c r="J121" s="14"/>
      <c r="K121" s="14"/>
      <c r="L121" s="14"/>
      <c r="M121" s="14"/>
      <c r="N121" s="14"/>
      <c r="O121" s="14"/>
      <c r="P121" s="14"/>
      <c r="Q121" s="14"/>
      <c r="R121" s="15"/>
      <c r="S121" s="15"/>
      <c r="T121" s="14"/>
      <c r="U121" s="14"/>
      <c r="V121" s="8" t="str">
        <f aca="false">IF(AND(R121&lt;&gt;"",S121&lt;&gt;""),NETWORKDAYS(R121,S121)-1,"")</f>
        <v/>
      </c>
      <c r="W121" s="14"/>
    </row>
    <row r="122" customFormat="false" ht="15" hidden="false" customHeight="false" outlineLevel="0" collapsed="false">
      <c r="A122" s="14"/>
      <c r="B122" s="15"/>
      <c r="C122" s="14"/>
      <c r="D122" s="14"/>
      <c r="E122" s="14"/>
      <c r="F122" s="14"/>
      <c r="G122" s="14"/>
      <c r="H122" s="14"/>
      <c r="I122" s="14"/>
      <c r="J122" s="14"/>
      <c r="K122" s="14"/>
      <c r="L122" s="14"/>
      <c r="M122" s="14"/>
      <c r="N122" s="14"/>
      <c r="O122" s="14"/>
      <c r="P122" s="14"/>
      <c r="Q122" s="14"/>
      <c r="R122" s="15"/>
      <c r="S122" s="15"/>
      <c r="T122" s="14"/>
      <c r="U122" s="14"/>
      <c r="V122" s="8" t="str">
        <f aca="false">IF(AND(R122&lt;&gt;"",S122&lt;&gt;""),NETWORKDAYS(R122,S122)-1,"")</f>
        <v/>
      </c>
      <c r="W122" s="14"/>
    </row>
    <row r="123" customFormat="false" ht="15" hidden="false" customHeight="false" outlineLevel="0" collapsed="false">
      <c r="A123" s="14"/>
      <c r="B123" s="15"/>
      <c r="C123" s="14"/>
      <c r="D123" s="14"/>
      <c r="E123" s="14"/>
      <c r="F123" s="14"/>
      <c r="G123" s="14"/>
      <c r="H123" s="14"/>
      <c r="I123" s="14"/>
      <c r="J123" s="14"/>
      <c r="K123" s="14"/>
      <c r="L123" s="14"/>
      <c r="M123" s="14"/>
      <c r="N123" s="14"/>
      <c r="O123" s="14"/>
      <c r="P123" s="14"/>
      <c r="Q123" s="14"/>
      <c r="R123" s="15"/>
      <c r="S123" s="15"/>
      <c r="T123" s="14"/>
      <c r="U123" s="14"/>
      <c r="V123" s="8" t="str">
        <f aca="false">IF(AND(R123&lt;&gt;"",S123&lt;&gt;""),NETWORKDAYS(R123,S123)-1,"")</f>
        <v/>
      </c>
      <c r="W123" s="14"/>
    </row>
    <row r="124" customFormat="false" ht="15" hidden="false" customHeight="false" outlineLevel="0" collapsed="false">
      <c r="A124" s="14"/>
      <c r="B124" s="15"/>
      <c r="C124" s="14"/>
      <c r="D124" s="14"/>
      <c r="E124" s="14"/>
      <c r="F124" s="14"/>
      <c r="G124" s="14"/>
      <c r="H124" s="14"/>
      <c r="I124" s="14"/>
      <c r="J124" s="14"/>
      <c r="K124" s="14"/>
      <c r="L124" s="14"/>
      <c r="M124" s="14"/>
      <c r="N124" s="14"/>
      <c r="O124" s="14"/>
      <c r="P124" s="14"/>
      <c r="Q124" s="14"/>
      <c r="R124" s="15"/>
      <c r="S124" s="15"/>
      <c r="T124" s="14"/>
      <c r="U124" s="14"/>
      <c r="V124" s="8" t="str">
        <f aca="false">IF(AND(R124&lt;&gt;"",S124&lt;&gt;""),NETWORKDAYS(R124,S124)-1,"")</f>
        <v/>
      </c>
      <c r="W124" s="14"/>
    </row>
    <row r="125" customFormat="false" ht="15" hidden="false" customHeight="false" outlineLevel="0" collapsed="false">
      <c r="A125" s="14"/>
      <c r="B125" s="15"/>
      <c r="C125" s="14"/>
      <c r="D125" s="14"/>
      <c r="E125" s="14"/>
      <c r="F125" s="14"/>
      <c r="G125" s="14"/>
      <c r="H125" s="14"/>
      <c r="I125" s="14"/>
      <c r="J125" s="14"/>
      <c r="K125" s="14"/>
      <c r="L125" s="14"/>
      <c r="M125" s="14"/>
      <c r="N125" s="14"/>
      <c r="O125" s="14"/>
      <c r="P125" s="14"/>
      <c r="Q125" s="14"/>
      <c r="R125" s="15"/>
      <c r="S125" s="15"/>
      <c r="T125" s="14"/>
      <c r="U125" s="14"/>
      <c r="V125" s="8" t="str">
        <f aca="false">IF(AND(R125&lt;&gt;"",S125&lt;&gt;""),NETWORKDAYS(R125,S125)-1,"")</f>
        <v/>
      </c>
      <c r="W125" s="14"/>
    </row>
    <row r="126" customFormat="false" ht="15" hidden="false" customHeight="false" outlineLevel="0" collapsed="false">
      <c r="A126" s="14"/>
      <c r="B126" s="15"/>
      <c r="C126" s="14"/>
      <c r="D126" s="14"/>
      <c r="E126" s="14"/>
      <c r="F126" s="14"/>
      <c r="G126" s="14"/>
      <c r="H126" s="14"/>
      <c r="I126" s="14"/>
      <c r="J126" s="14"/>
      <c r="K126" s="14"/>
      <c r="L126" s="14"/>
      <c r="M126" s="14"/>
      <c r="N126" s="14"/>
      <c r="O126" s="14"/>
      <c r="P126" s="14"/>
      <c r="Q126" s="14"/>
      <c r="R126" s="15"/>
      <c r="S126" s="15"/>
      <c r="T126" s="14"/>
      <c r="U126" s="14"/>
      <c r="V126" s="8" t="str">
        <f aca="false">IF(AND(R126&lt;&gt;"",S126&lt;&gt;""),NETWORKDAYS(R126,S126)-1,"")</f>
        <v/>
      </c>
      <c r="W126" s="14"/>
    </row>
    <row r="127" customFormat="false" ht="15" hidden="false" customHeight="false" outlineLevel="0" collapsed="false">
      <c r="A127" s="14"/>
      <c r="B127" s="15"/>
      <c r="C127" s="14"/>
      <c r="D127" s="14"/>
      <c r="E127" s="14"/>
      <c r="F127" s="14"/>
      <c r="G127" s="14"/>
      <c r="H127" s="14"/>
      <c r="I127" s="14"/>
      <c r="J127" s="14"/>
      <c r="K127" s="14"/>
      <c r="L127" s="14"/>
      <c r="M127" s="14"/>
      <c r="N127" s="14"/>
      <c r="O127" s="14"/>
      <c r="P127" s="14"/>
      <c r="Q127" s="14"/>
      <c r="R127" s="15"/>
      <c r="S127" s="15"/>
      <c r="T127" s="14"/>
      <c r="U127" s="14"/>
      <c r="V127" s="8" t="str">
        <f aca="false">IF(AND(R127&lt;&gt;"",S127&lt;&gt;""),NETWORKDAYS(R127,S127)-1,"")</f>
        <v/>
      </c>
      <c r="W127" s="14"/>
    </row>
    <row r="128" customFormat="false" ht="15" hidden="false" customHeight="false" outlineLevel="0" collapsed="false">
      <c r="A128" s="14"/>
      <c r="B128" s="15"/>
      <c r="C128" s="14"/>
      <c r="D128" s="14"/>
      <c r="E128" s="14"/>
      <c r="F128" s="14"/>
      <c r="G128" s="14"/>
      <c r="H128" s="14"/>
      <c r="I128" s="14"/>
      <c r="J128" s="14"/>
      <c r="K128" s="14"/>
      <c r="L128" s="14"/>
      <c r="M128" s="14"/>
      <c r="N128" s="14"/>
      <c r="O128" s="14"/>
      <c r="P128" s="14"/>
      <c r="Q128" s="14"/>
      <c r="R128" s="15"/>
      <c r="S128" s="15"/>
      <c r="T128" s="14"/>
      <c r="U128" s="14"/>
      <c r="V128" s="8" t="str">
        <f aca="false">IF(AND(R128&lt;&gt;"",S128&lt;&gt;""),NETWORKDAYS(R128,S128)-1,"")</f>
        <v/>
      </c>
      <c r="W128" s="14"/>
    </row>
    <row r="129" customFormat="false" ht="15" hidden="false" customHeight="false" outlineLevel="0" collapsed="false">
      <c r="A129" s="14"/>
      <c r="B129" s="15"/>
      <c r="C129" s="14"/>
      <c r="D129" s="14"/>
      <c r="E129" s="14"/>
      <c r="F129" s="14"/>
      <c r="G129" s="14"/>
      <c r="H129" s="14"/>
      <c r="I129" s="14"/>
      <c r="J129" s="14"/>
      <c r="K129" s="14"/>
      <c r="L129" s="14"/>
      <c r="M129" s="14"/>
      <c r="N129" s="14"/>
      <c r="O129" s="14"/>
      <c r="P129" s="14"/>
      <c r="Q129" s="14"/>
      <c r="R129" s="15"/>
      <c r="S129" s="15"/>
      <c r="T129" s="14"/>
      <c r="U129" s="14"/>
      <c r="V129" s="8" t="str">
        <f aca="false">IF(AND(R129&lt;&gt;"",S129&lt;&gt;""),NETWORKDAYS(R129,S129)-1,"")</f>
        <v/>
      </c>
      <c r="W129" s="14"/>
    </row>
    <row r="130" customFormat="false" ht="15" hidden="false" customHeight="false" outlineLevel="0" collapsed="false">
      <c r="A130" s="14"/>
      <c r="B130" s="15"/>
      <c r="C130" s="14"/>
      <c r="D130" s="14"/>
      <c r="E130" s="14"/>
      <c r="F130" s="14"/>
      <c r="G130" s="14"/>
      <c r="H130" s="14"/>
      <c r="I130" s="14"/>
      <c r="J130" s="14"/>
      <c r="K130" s="14"/>
      <c r="L130" s="14"/>
      <c r="M130" s="14"/>
      <c r="N130" s="14"/>
      <c r="O130" s="14"/>
      <c r="P130" s="14"/>
      <c r="Q130" s="14"/>
      <c r="R130" s="15"/>
      <c r="S130" s="15"/>
      <c r="T130" s="14"/>
      <c r="U130" s="14"/>
      <c r="V130" s="8" t="str">
        <f aca="false">IF(AND(R130&lt;&gt;"",S130&lt;&gt;""),NETWORKDAYS(R130,S130)-1,"")</f>
        <v/>
      </c>
      <c r="W130" s="14"/>
    </row>
    <row r="131" customFormat="false" ht="15" hidden="false" customHeight="false" outlineLevel="0" collapsed="false">
      <c r="A131" s="14"/>
      <c r="B131" s="15"/>
      <c r="C131" s="14"/>
      <c r="D131" s="14"/>
      <c r="E131" s="14"/>
      <c r="F131" s="14"/>
      <c r="G131" s="14"/>
      <c r="H131" s="14"/>
      <c r="I131" s="14"/>
      <c r="J131" s="14"/>
      <c r="K131" s="14"/>
      <c r="L131" s="14"/>
      <c r="M131" s="14"/>
      <c r="N131" s="14"/>
      <c r="O131" s="14"/>
      <c r="P131" s="14"/>
      <c r="Q131" s="14"/>
      <c r="R131" s="15"/>
      <c r="S131" s="15"/>
      <c r="T131" s="14"/>
      <c r="U131" s="14"/>
      <c r="V131" s="8" t="str">
        <f aca="false">IF(AND(R131&lt;&gt;"",S131&lt;&gt;""),NETWORKDAYS(R131,S131)-1,"")</f>
        <v/>
      </c>
      <c r="W131" s="14"/>
    </row>
    <row r="132" customFormat="false" ht="15" hidden="false" customHeight="false" outlineLevel="0" collapsed="false">
      <c r="A132" s="14"/>
      <c r="B132" s="15"/>
      <c r="C132" s="14"/>
      <c r="D132" s="14"/>
      <c r="E132" s="14"/>
      <c r="F132" s="14"/>
      <c r="G132" s="14"/>
      <c r="H132" s="14"/>
      <c r="I132" s="14"/>
      <c r="J132" s="14"/>
      <c r="K132" s="14"/>
      <c r="L132" s="14"/>
      <c r="M132" s="14"/>
      <c r="N132" s="14"/>
      <c r="O132" s="14"/>
      <c r="P132" s="14"/>
      <c r="Q132" s="14"/>
      <c r="R132" s="15"/>
      <c r="S132" s="15"/>
      <c r="T132" s="14"/>
      <c r="U132" s="14"/>
      <c r="V132" s="8" t="str">
        <f aca="false">IF(AND(R132&lt;&gt;"",S132&lt;&gt;""),NETWORKDAYS(R132,S132)-1,"")</f>
        <v/>
      </c>
      <c r="W132" s="14"/>
    </row>
    <row r="133" customFormat="false" ht="15" hidden="false" customHeight="false" outlineLevel="0" collapsed="false">
      <c r="A133" s="14"/>
      <c r="B133" s="15"/>
      <c r="C133" s="14"/>
      <c r="D133" s="14"/>
      <c r="E133" s="14"/>
      <c r="F133" s="14"/>
      <c r="G133" s="14"/>
      <c r="H133" s="14"/>
      <c r="I133" s="14"/>
      <c r="J133" s="14"/>
      <c r="K133" s="14"/>
      <c r="L133" s="14"/>
      <c r="M133" s="14"/>
      <c r="N133" s="14"/>
      <c r="O133" s="14"/>
      <c r="P133" s="14"/>
      <c r="Q133" s="14"/>
      <c r="R133" s="15"/>
      <c r="S133" s="15"/>
      <c r="T133" s="14"/>
      <c r="U133" s="14"/>
      <c r="V133" s="8" t="str">
        <f aca="false">IF(AND(R133&lt;&gt;"",S133&lt;&gt;""),NETWORKDAYS(R133,S133)-1,"")</f>
        <v/>
      </c>
      <c r="W133" s="14"/>
    </row>
    <row r="134" customFormat="false" ht="15" hidden="false" customHeight="false" outlineLevel="0" collapsed="false">
      <c r="A134" s="14"/>
      <c r="B134" s="15"/>
      <c r="C134" s="14"/>
      <c r="D134" s="14"/>
      <c r="E134" s="14"/>
      <c r="F134" s="14"/>
      <c r="G134" s="14"/>
      <c r="H134" s="14"/>
      <c r="I134" s="14"/>
      <c r="J134" s="14"/>
      <c r="K134" s="14"/>
      <c r="L134" s="14"/>
      <c r="M134" s="14"/>
      <c r="N134" s="14"/>
      <c r="O134" s="14"/>
      <c r="P134" s="14"/>
      <c r="Q134" s="14"/>
      <c r="R134" s="15"/>
      <c r="S134" s="15"/>
      <c r="T134" s="14"/>
      <c r="U134" s="14"/>
      <c r="V134" s="8" t="str">
        <f aca="false">IF(AND(R134&lt;&gt;"",S134&lt;&gt;""),NETWORKDAYS(R134,S134)-1,"")</f>
        <v/>
      </c>
      <c r="W134" s="14"/>
    </row>
    <row r="135" customFormat="false" ht="15" hidden="false" customHeight="false" outlineLevel="0" collapsed="false">
      <c r="A135" s="14"/>
      <c r="B135" s="15"/>
      <c r="C135" s="14"/>
      <c r="D135" s="14"/>
      <c r="E135" s="14"/>
      <c r="F135" s="14"/>
      <c r="G135" s="14"/>
      <c r="H135" s="14"/>
      <c r="I135" s="14"/>
      <c r="J135" s="14"/>
      <c r="K135" s="14"/>
      <c r="L135" s="14"/>
      <c r="M135" s="14"/>
      <c r="N135" s="14"/>
      <c r="O135" s="14"/>
      <c r="P135" s="14"/>
      <c r="Q135" s="14"/>
      <c r="R135" s="15"/>
      <c r="S135" s="15"/>
      <c r="T135" s="14"/>
      <c r="U135" s="14"/>
      <c r="V135" s="8" t="str">
        <f aca="false">IF(AND(R135&lt;&gt;"",S135&lt;&gt;""),NETWORKDAYS(R135,S135)-1,"")</f>
        <v/>
      </c>
      <c r="W135" s="14"/>
    </row>
    <row r="136" customFormat="false" ht="15" hidden="false" customHeight="false" outlineLevel="0" collapsed="false">
      <c r="A136" s="14"/>
      <c r="B136" s="15"/>
      <c r="C136" s="14"/>
      <c r="D136" s="14"/>
      <c r="E136" s="14"/>
      <c r="F136" s="14"/>
      <c r="G136" s="14"/>
      <c r="H136" s="14"/>
      <c r="I136" s="14"/>
      <c r="J136" s="14"/>
      <c r="K136" s="14"/>
      <c r="L136" s="14"/>
      <c r="M136" s="14"/>
      <c r="N136" s="14"/>
      <c r="O136" s="14"/>
      <c r="P136" s="14"/>
      <c r="Q136" s="14"/>
      <c r="R136" s="15"/>
      <c r="S136" s="15"/>
      <c r="T136" s="14"/>
      <c r="U136" s="14"/>
      <c r="V136" s="8" t="str">
        <f aca="false">IF(AND(R136&lt;&gt;"",S136&lt;&gt;""),NETWORKDAYS(R136,S136)-1,"")</f>
        <v/>
      </c>
      <c r="W136" s="14"/>
    </row>
    <row r="137" customFormat="false" ht="15" hidden="false" customHeight="false" outlineLevel="0" collapsed="false">
      <c r="A137" s="14"/>
      <c r="B137" s="15"/>
      <c r="C137" s="14"/>
      <c r="D137" s="14"/>
      <c r="E137" s="14"/>
      <c r="F137" s="14"/>
      <c r="G137" s="14"/>
      <c r="H137" s="14"/>
      <c r="I137" s="14"/>
      <c r="J137" s="14"/>
      <c r="K137" s="14"/>
      <c r="L137" s="14"/>
      <c r="M137" s="14"/>
      <c r="N137" s="14"/>
      <c r="O137" s="14"/>
      <c r="P137" s="14"/>
      <c r="Q137" s="14"/>
      <c r="R137" s="15"/>
      <c r="S137" s="15"/>
      <c r="T137" s="14"/>
      <c r="U137" s="14"/>
      <c r="V137" s="8" t="str">
        <f aca="false">IF(AND(R137&lt;&gt;"",S137&lt;&gt;""),NETWORKDAYS(R137,S137)-1,"")</f>
        <v/>
      </c>
      <c r="W137" s="14"/>
    </row>
    <row r="138" customFormat="false" ht="15" hidden="false" customHeight="false" outlineLevel="0" collapsed="false">
      <c r="A138" s="14"/>
      <c r="B138" s="15"/>
      <c r="C138" s="14"/>
      <c r="D138" s="14"/>
      <c r="E138" s="14"/>
      <c r="F138" s="14"/>
      <c r="G138" s="14"/>
      <c r="H138" s="14"/>
      <c r="I138" s="14"/>
      <c r="J138" s="14"/>
      <c r="K138" s="14"/>
      <c r="L138" s="14"/>
      <c r="M138" s="14"/>
      <c r="N138" s="14"/>
      <c r="O138" s="14"/>
      <c r="P138" s="14"/>
      <c r="Q138" s="14"/>
      <c r="R138" s="15"/>
      <c r="S138" s="15"/>
      <c r="T138" s="14"/>
      <c r="U138" s="14"/>
      <c r="V138" s="8" t="str">
        <f aca="false">IF(AND(R138&lt;&gt;"",S138&lt;&gt;""),NETWORKDAYS(R138,S138)-1,"")</f>
        <v/>
      </c>
      <c r="W138" s="14"/>
    </row>
    <row r="139" customFormat="false" ht="15" hidden="false" customHeight="false" outlineLevel="0" collapsed="false">
      <c r="A139" s="14"/>
      <c r="B139" s="15"/>
      <c r="C139" s="14"/>
      <c r="D139" s="14"/>
      <c r="E139" s="14"/>
      <c r="F139" s="14"/>
      <c r="G139" s="14"/>
      <c r="H139" s="14"/>
      <c r="I139" s="14"/>
      <c r="J139" s="14"/>
      <c r="K139" s="14"/>
      <c r="L139" s="14"/>
      <c r="M139" s="14"/>
      <c r="N139" s="14"/>
      <c r="O139" s="14"/>
      <c r="P139" s="14"/>
      <c r="Q139" s="14"/>
      <c r="R139" s="15"/>
      <c r="S139" s="15"/>
      <c r="T139" s="14"/>
      <c r="U139" s="14"/>
      <c r="V139" s="8" t="str">
        <f aca="false">IF(AND(R139&lt;&gt;"",S139&lt;&gt;""),NETWORKDAYS(R139,S139)-1,"")</f>
        <v/>
      </c>
      <c r="W139" s="14"/>
    </row>
    <row r="140" customFormat="false" ht="15" hidden="false" customHeight="false" outlineLevel="0" collapsed="false">
      <c r="A140" s="14"/>
      <c r="B140" s="15"/>
      <c r="C140" s="14"/>
      <c r="D140" s="14"/>
      <c r="E140" s="14"/>
      <c r="F140" s="14"/>
      <c r="G140" s="14"/>
      <c r="H140" s="14"/>
      <c r="I140" s="14"/>
      <c r="J140" s="14"/>
      <c r="K140" s="14"/>
      <c r="L140" s="14"/>
      <c r="M140" s="14"/>
      <c r="N140" s="14"/>
      <c r="O140" s="14"/>
      <c r="P140" s="14"/>
      <c r="Q140" s="14"/>
      <c r="R140" s="15"/>
      <c r="S140" s="15"/>
      <c r="T140" s="14"/>
      <c r="U140" s="14"/>
      <c r="V140" s="8" t="str">
        <f aca="false">IF(AND(R140&lt;&gt;"",S140&lt;&gt;""),NETWORKDAYS(R140,S140)-1,"")</f>
        <v/>
      </c>
      <c r="W140" s="14"/>
    </row>
    <row r="141" customFormat="false" ht="15" hidden="false" customHeight="false" outlineLevel="0" collapsed="false">
      <c r="A141" s="14"/>
      <c r="B141" s="15"/>
      <c r="C141" s="14"/>
      <c r="D141" s="14"/>
      <c r="E141" s="14"/>
      <c r="F141" s="14"/>
      <c r="G141" s="14"/>
      <c r="H141" s="14"/>
      <c r="I141" s="14"/>
      <c r="J141" s="14"/>
      <c r="K141" s="14"/>
      <c r="L141" s="14"/>
      <c r="M141" s="14"/>
      <c r="N141" s="14"/>
      <c r="O141" s="14"/>
      <c r="P141" s="14"/>
      <c r="Q141" s="14"/>
      <c r="R141" s="15"/>
      <c r="S141" s="15"/>
      <c r="T141" s="14"/>
      <c r="U141" s="14"/>
      <c r="V141" s="8" t="str">
        <f aca="false">IF(AND(R141&lt;&gt;"",S141&lt;&gt;""),NETWORKDAYS(R141,S141)-1,"")</f>
        <v/>
      </c>
      <c r="W141" s="14"/>
    </row>
    <row r="142" customFormat="false" ht="15" hidden="false" customHeight="false" outlineLevel="0" collapsed="false">
      <c r="A142" s="14"/>
      <c r="B142" s="15"/>
      <c r="C142" s="14"/>
      <c r="D142" s="14"/>
      <c r="E142" s="14"/>
      <c r="F142" s="14"/>
      <c r="G142" s="14"/>
      <c r="H142" s="14"/>
      <c r="I142" s="14"/>
      <c r="J142" s="14"/>
      <c r="K142" s="14"/>
      <c r="L142" s="14"/>
      <c r="M142" s="14"/>
      <c r="N142" s="14"/>
      <c r="O142" s="14"/>
      <c r="P142" s="14"/>
      <c r="Q142" s="14"/>
      <c r="R142" s="15"/>
      <c r="S142" s="15"/>
      <c r="T142" s="14"/>
      <c r="U142" s="14"/>
      <c r="V142" s="8" t="str">
        <f aca="false">IF(AND(R142&lt;&gt;"",S142&lt;&gt;""),NETWORKDAYS(R142,S142)-1,"")</f>
        <v/>
      </c>
      <c r="W142" s="14"/>
    </row>
    <row r="143" customFormat="false" ht="15" hidden="false" customHeight="false" outlineLevel="0" collapsed="false">
      <c r="A143" s="14"/>
      <c r="B143" s="15"/>
      <c r="C143" s="14"/>
      <c r="D143" s="14"/>
      <c r="E143" s="14"/>
      <c r="F143" s="14"/>
      <c r="G143" s="14"/>
      <c r="H143" s="14"/>
      <c r="I143" s="14"/>
      <c r="J143" s="14"/>
      <c r="K143" s="14"/>
      <c r="L143" s="14"/>
      <c r="M143" s="14"/>
      <c r="N143" s="14"/>
      <c r="O143" s="14"/>
      <c r="P143" s="14"/>
      <c r="Q143" s="14"/>
      <c r="R143" s="15"/>
      <c r="S143" s="15"/>
      <c r="T143" s="14"/>
      <c r="U143" s="14"/>
      <c r="V143" s="8" t="str">
        <f aca="false">IF(AND(R143&lt;&gt;"",S143&lt;&gt;""),NETWORKDAYS(R143,S143)-1,"")</f>
        <v/>
      </c>
      <c r="W143" s="14"/>
    </row>
    <row r="144" customFormat="false" ht="15" hidden="false" customHeight="false" outlineLevel="0" collapsed="false">
      <c r="A144" s="14"/>
      <c r="B144" s="15"/>
      <c r="C144" s="14"/>
      <c r="D144" s="14"/>
      <c r="E144" s="14"/>
      <c r="F144" s="14"/>
      <c r="G144" s="14"/>
      <c r="H144" s="14"/>
      <c r="I144" s="14"/>
      <c r="J144" s="14"/>
      <c r="K144" s="14"/>
      <c r="L144" s="14"/>
      <c r="M144" s="14"/>
      <c r="N144" s="14"/>
      <c r="O144" s="14"/>
      <c r="P144" s="14"/>
      <c r="Q144" s="14"/>
      <c r="R144" s="15"/>
      <c r="S144" s="15"/>
      <c r="T144" s="14"/>
      <c r="U144" s="14"/>
      <c r="V144" s="8" t="str">
        <f aca="false">IF(AND(R144&lt;&gt;"",S144&lt;&gt;""),NETWORKDAYS(R144,S144)-1,"")</f>
        <v/>
      </c>
      <c r="W144" s="14"/>
    </row>
    <row r="145" customFormat="false" ht="15" hidden="false" customHeight="false" outlineLevel="0" collapsed="false">
      <c r="A145" s="14"/>
      <c r="B145" s="15"/>
      <c r="C145" s="14"/>
      <c r="D145" s="14"/>
      <c r="E145" s="14"/>
      <c r="F145" s="14"/>
      <c r="G145" s="14"/>
      <c r="H145" s="14"/>
      <c r="I145" s="14"/>
      <c r="J145" s="14"/>
      <c r="K145" s="14"/>
      <c r="L145" s="14"/>
      <c r="M145" s="14"/>
      <c r="N145" s="14"/>
      <c r="O145" s="14"/>
      <c r="P145" s="14"/>
      <c r="Q145" s="14"/>
      <c r="R145" s="15"/>
      <c r="S145" s="15"/>
      <c r="T145" s="14"/>
      <c r="U145" s="14"/>
      <c r="V145" s="8" t="str">
        <f aca="false">IF(AND(R145&lt;&gt;"",S145&lt;&gt;""),NETWORKDAYS(R145,S145)-1,"")</f>
        <v/>
      </c>
      <c r="W145" s="14"/>
    </row>
    <row r="146" customFormat="false" ht="15" hidden="false" customHeight="false" outlineLevel="0" collapsed="false">
      <c r="A146" s="14"/>
      <c r="B146" s="15"/>
      <c r="C146" s="14"/>
      <c r="D146" s="14"/>
      <c r="E146" s="14"/>
      <c r="F146" s="14"/>
      <c r="G146" s="14"/>
      <c r="H146" s="14"/>
      <c r="I146" s="14"/>
      <c r="J146" s="14"/>
      <c r="K146" s="14"/>
      <c r="L146" s="14"/>
      <c r="M146" s="14"/>
      <c r="N146" s="14"/>
      <c r="O146" s="14"/>
      <c r="P146" s="14"/>
      <c r="Q146" s="14"/>
      <c r="R146" s="15"/>
      <c r="S146" s="15"/>
      <c r="T146" s="14"/>
      <c r="U146" s="14"/>
      <c r="V146" s="8" t="str">
        <f aca="false">IF(AND(R146&lt;&gt;"",S146&lt;&gt;""),NETWORKDAYS(R146,S146)-1,"")</f>
        <v/>
      </c>
      <c r="W146" s="14"/>
    </row>
    <row r="147" customFormat="false" ht="15" hidden="false" customHeight="false" outlineLevel="0" collapsed="false">
      <c r="A147" s="14"/>
      <c r="B147" s="15"/>
      <c r="C147" s="14"/>
      <c r="D147" s="14"/>
      <c r="E147" s="14"/>
      <c r="F147" s="14"/>
      <c r="G147" s="14"/>
      <c r="H147" s="14"/>
      <c r="I147" s="14"/>
      <c r="J147" s="14"/>
      <c r="K147" s="14"/>
      <c r="L147" s="14"/>
      <c r="M147" s="14"/>
      <c r="N147" s="14"/>
      <c r="O147" s="14"/>
      <c r="P147" s="14"/>
      <c r="Q147" s="14"/>
      <c r="R147" s="15"/>
      <c r="S147" s="15"/>
      <c r="T147" s="14"/>
      <c r="U147" s="14"/>
      <c r="V147" s="8" t="str">
        <f aca="false">IF(AND(R147&lt;&gt;"",S147&lt;&gt;""),NETWORKDAYS(R147,S147)-1,"")</f>
        <v/>
      </c>
      <c r="W147" s="14"/>
    </row>
    <row r="148" customFormat="false" ht="15" hidden="false" customHeight="false" outlineLevel="0" collapsed="false">
      <c r="A148" s="14"/>
      <c r="B148" s="15"/>
      <c r="C148" s="14"/>
      <c r="D148" s="14"/>
      <c r="E148" s="14"/>
      <c r="F148" s="14"/>
      <c r="G148" s="14"/>
      <c r="H148" s="14"/>
      <c r="I148" s="14"/>
      <c r="J148" s="14"/>
      <c r="K148" s="14"/>
      <c r="L148" s="14"/>
      <c r="M148" s="14"/>
      <c r="N148" s="14"/>
      <c r="O148" s="14"/>
      <c r="P148" s="14"/>
      <c r="Q148" s="14"/>
      <c r="R148" s="15"/>
      <c r="S148" s="15"/>
      <c r="T148" s="14"/>
      <c r="U148" s="14"/>
      <c r="V148" s="8" t="str">
        <f aca="false">IF(AND(R148&lt;&gt;"",S148&lt;&gt;""),NETWORKDAYS(R148,S148)-1,"")</f>
        <v/>
      </c>
      <c r="W148" s="14"/>
    </row>
    <row r="149" customFormat="false" ht="15" hidden="false" customHeight="false" outlineLevel="0" collapsed="false">
      <c r="A149" s="14"/>
      <c r="B149" s="15"/>
      <c r="C149" s="14"/>
      <c r="D149" s="14"/>
      <c r="E149" s="14"/>
      <c r="F149" s="14"/>
      <c r="G149" s="14"/>
      <c r="H149" s="14"/>
      <c r="I149" s="14"/>
      <c r="J149" s="14"/>
      <c r="K149" s="14"/>
      <c r="L149" s="14"/>
      <c r="M149" s="14"/>
      <c r="N149" s="14"/>
      <c r="O149" s="14"/>
      <c r="P149" s="14"/>
      <c r="Q149" s="14"/>
      <c r="R149" s="15"/>
      <c r="S149" s="15"/>
      <c r="T149" s="14"/>
      <c r="U149" s="14"/>
      <c r="V149" s="8" t="str">
        <f aca="false">IF(AND(R149&lt;&gt;"",S149&lt;&gt;""),NETWORKDAYS(R149,S149)-1,"")</f>
        <v/>
      </c>
      <c r="W149" s="14"/>
    </row>
    <row r="150" customFormat="false" ht="15" hidden="false" customHeight="false" outlineLevel="0" collapsed="false">
      <c r="A150" s="14"/>
      <c r="B150" s="15"/>
      <c r="C150" s="14"/>
      <c r="D150" s="14"/>
      <c r="E150" s="14"/>
      <c r="F150" s="14"/>
      <c r="G150" s="14"/>
      <c r="H150" s="14"/>
      <c r="I150" s="14"/>
      <c r="J150" s="14"/>
      <c r="K150" s="14"/>
      <c r="L150" s="14"/>
      <c r="M150" s="14"/>
      <c r="N150" s="14"/>
      <c r="O150" s="14"/>
      <c r="P150" s="14"/>
      <c r="Q150" s="14"/>
      <c r="R150" s="15"/>
      <c r="S150" s="15"/>
      <c r="T150" s="14"/>
      <c r="U150" s="14"/>
      <c r="V150" s="8" t="str">
        <f aca="false">IF(AND(R150&lt;&gt;"",S150&lt;&gt;""),NETWORKDAYS(R150,S150)-1,"")</f>
        <v/>
      </c>
      <c r="W150" s="14"/>
    </row>
    <row r="151" customFormat="false" ht="15" hidden="false" customHeight="false" outlineLevel="0" collapsed="false">
      <c r="A151" s="14"/>
      <c r="B151" s="15"/>
      <c r="C151" s="14"/>
      <c r="D151" s="14"/>
      <c r="E151" s="14"/>
      <c r="F151" s="14"/>
      <c r="G151" s="14"/>
      <c r="H151" s="14"/>
      <c r="I151" s="14"/>
      <c r="J151" s="14"/>
      <c r="K151" s="14"/>
      <c r="L151" s="14"/>
      <c r="M151" s="14"/>
      <c r="N151" s="14"/>
      <c r="O151" s="14"/>
      <c r="P151" s="14"/>
      <c r="Q151" s="14"/>
      <c r="R151" s="15"/>
      <c r="S151" s="15"/>
      <c r="T151" s="14"/>
      <c r="U151" s="14"/>
      <c r="V151" s="8" t="str">
        <f aca="false">IF(AND(R151&lt;&gt;"",S151&lt;&gt;""),NETWORKDAYS(R151,S151)-1,"")</f>
        <v/>
      </c>
      <c r="W151" s="14"/>
    </row>
    <row r="152" customFormat="false" ht="15" hidden="false" customHeight="false" outlineLevel="0" collapsed="false">
      <c r="A152" s="14"/>
      <c r="B152" s="15"/>
      <c r="C152" s="14"/>
      <c r="D152" s="14"/>
      <c r="E152" s="14"/>
      <c r="F152" s="14"/>
      <c r="G152" s="14"/>
      <c r="H152" s="14"/>
      <c r="I152" s="14"/>
      <c r="J152" s="14"/>
      <c r="K152" s="14"/>
      <c r="L152" s="14"/>
      <c r="M152" s="14"/>
      <c r="N152" s="14"/>
      <c r="O152" s="14"/>
      <c r="P152" s="14"/>
      <c r="Q152" s="14"/>
      <c r="R152" s="15"/>
      <c r="S152" s="15"/>
      <c r="T152" s="14"/>
      <c r="U152" s="14"/>
      <c r="V152" s="8" t="str">
        <f aca="false">IF(AND(R152&lt;&gt;"",S152&lt;&gt;""),NETWORKDAYS(R152,S152)-1,"")</f>
        <v/>
      </c>
      <c r="W152" s="14"/>
    </row>
    <row r="153" customFormat="false" ht="15" hidden="false" customHeight="false" outlineLevel="0" collapsed="false">
      <c r="A153" s="14"/>
      <c r="B153" s="15"/>
      <c r="C153" s="14"/>
      <c r="D153" s="14"/>
      <c r="E153" s="14"/>
      <c r="F153" s="14"/>
      <c r="G153" s="14"/>
      <c r="H153" s="14"/>
      <c r="I153" s="14"/>
      <c r="J153" s="14"/>
      <c r="K153" s="14"/>
      <c r="L153" s="14"/>
      <c r="M153" s="14"/>
      <c r="N153" s="14"/>
      <c r="O153" s="14"/>
      <c r="P153" s="14"/>
      <c r="Q153" s="14"/>
      <c r="R153" s="15"/>
      <c r="S153" s="15"/>
      <c r="T153" s="14"/>
      <c r="U153" s="14"/>
      <c r="V153" s="8" t="str">
        <f aca="false">IF(AND(R153&lt;&gt;"",S153&lt;&gt;""),NETWORKDAYS(R153,S153)-1,"")</f>
        <v/>
      </c>
      <c r="W153" s="14"/>
    </row>
    <row r="154" customFormat="false" ht="15" hidden="false" customHeight="false" outlineLevel="0" collapsed="false">
      <c r="A154" s="14"/>
      <c r="B154" s="15"/>
      <c r="C154" s="14"/>
      <c r="D154" s="14"/>
      <c r="E154" s="14"/>
      <c r="F154" s="14"/>
      <c r="G154" s="14"/>
      <c r="H154" s="14"/>
      <c r="I154" s="14"/>
      <c r="J154" s="14"/>
      <c r="K154" s="14"/>
      <c r="L154" s="14"/>
      <c r="M154" s="14"/>
      <c r="N154" s="14"/>
      <c r="O154" s="14"/>
      <c r="P154" s="14"/>
      <c r="Q154" s="14"/>
      <c r="R154" s="15"/>
      <c r="S154" s="15"/>
      <c r="T154" s="14"/>
      <c r="U154" s="14"/>
      <c r="V154" s="8" t="str">
        <f aca="false">IF(AND(R154&lt;&gt;"",S154&lt;&gt;""),NETWORKDAYS(R154,S154)-1,"")</f>
        <v/>
      </c>
      <c r="W154" s="14"/>
    </row>
    <row r="155" customFormat="false" ht="15" hidden="false" customHeight="false" outlineLevel="0" collapsed="false">
      <c r="A155" s="14"/>
      <c r="B155" s="15"/>
      <c r="C155" s="14"/>
      <c r="D155" s="14"/>
      <c r="E155" s="14"/>
      <c r="F155" s="14"/>
      <c r="G155" s="14"/>
      <c r="H155" s="14"/>
      <c r="I155" s="14"/>
      <c r="J155" s="14"/>
      <c r="K155" s="14"/>
      <c r="L155" s="14"/>
      <c r="M155" s="14"/>
      <c r="N155" s="14"/>
      <c r="O155" s="14"/>
      <c r="P155" s="14"/>
      <c r="Q155" s="14"/>
      <c r="R155" s="15"/>
      <c r="S155" s="15"/>
      <c r="T155" s="14"/>
      <c r="U155" s="14"/>
      <c r="V155" s="8" t="str">
        <f aca="false">IF(AND(R155&lt;&gt;"",S155&lt;&gt;""),NETWORKDAYS(R155,S155)-1,"")</f>
        <v/>
      </c>
      <c r="W155" s="14"/>
    </row>
    <row r="156" customFormat="false" ht="15" hidden="false" customHeight="false" outlineLevel="0" collapsed="false">
      <c r="A156" s="14"/>
      <c r="B156" s="15"/>
      <c r="C156" s="14"/>
      <c r="D156" s="14"/>
      <c r="E156" s="14"/>
      <c r="F156" s="14"/>
      <c r="G156" s="14"/>
      <c r="H156" s="14"/>
      <c r="I156" s="14"/>
      <c r="J156" s="14"/>
      <c r="K156" s="14"/>
      <c r="L156" s="14"/>
      <c r="M156" s="14"/>
      <c r="N156" s="14"/>
      <c r="O156" s="14"/>
      <c r="P156" s="14"/>
      <c r="Q156" s="14"/>
      <c r="R156" s="15"/>
      <c r="S156" s="15"/>
      <c r="T156" s="14"/>
      <c r="U156" s="14"/>
      <c r="V156" s="8" t="str">
        <f aca="false">IF(AND(R156&lt;&gt;"",S156&lt;&gt;""),NETWORKDAYS(R156,S156)-1,"")</f>
        <v/>
      </c>
      <c r="W156" s="14"/>
    </row>
    <row r="157" customFormat="false" ht="15" hidden="false" customHeight="false" outlineLevel="0" collapsed="false">
      <c r="A157" s="14"/>
      <c r="B157" s="15"/>
      <c r="C157" s="14"/>
      <c r="D157" s="14"/>
      <c r="E157" s="14"/>
      <c r="F157" s="14"/>
      <c r="G157" s="14"/>
      <c r="H157" s="14"/>
      <c r="I157" s="14"/>
      <c r="J157" s="14"/>
      <c r="K157" s="14"/>
      <c r="L157" s="14"/>
      <c r="M157" s="14"/>
      <c r="N157" s="14"/>
      <c r="O157" s="14"/>
      <c r="P157" s="14"/>
      <c r="Q157" s="14"/>
      <c r="R157" s="15"/>
      <c r="S157" s="15"/>
      <c r="T157" s="14"/>
      <c r="U157" s="14"/>
      <c r="V157" s="8" t="str">
        <f aca="false">IF(AND(R157&lt;&gt;"",S157&lt;&gt;""),NETWORKDAYS(R157,S157)-1,"")</f>
        <v/>
      </c>
      <c r="W157" s="14"/>
    </row>
    <row r="158" customFormat="false" ht="15" hidden="false" customHeight="false" outlineLevel="0" collapsed="false">
      <c r="A158" s="14"/>
      <c r="B158" s="15"/>
      <c r="C158" s="14"/>
      <c r="D158" s="14"/>
      <c r="E158" s="14"/>
      <c r="F158" s="14"/>
      <c r="G158" s="14"/>
      <c r="H158" s="14"/>
      <c r="I158" s="14"/>
      <c r="J158" s="14"/>
      <c r="K158" s="14"/>
      <c r="L158" s="14"/>
      <c r="M158" s="14"/>
      <c r="N158" s="14"/>
      <c r="O158" s="14"/>
      <c r="P158" s="14"/>
      <c r="Q158" s="14"/>
      <c r="R158" s="15"/>
      <c r="S158" s="15"/>
      <c r="T158" s="14"/>
      <c r="U158" s="14"/>
      <c r="V158" s="8" t="str">
        <f aca="false">IF(AND(R158&lt;&gt;"",S158&lt;&gt;""),NETWORKDAYS(R158,S158)-1,"")</f>
        <v/>
      </c>
      <c r="W158" s="14"/>
    </row>
    <row r="159" customFormat="false" ht="15" hidden="false" customHeight="false" outlineLevel="0" collapsed="false">
      <c r="A159" s="14"/>
      <c r="B159" s="15"/>
      <c r="C159" s="14"/>
      <c r="D159" s="14"/>
      <c r="E159" s="14"/>
      <c r="F159" s="14"/>
      <c r="G159" s="14"/>
      <c r="H159" s="14"/>
      <c r="I159" s="14"/>
      <c r="J159" s="14"/>
      <c r="K159" s="14"/>
      <c r="L159" s="14"/>
      <c r="M159" s="14"/>
      <c r="N159" s="14"/>
      <c r="O159" s="14"/>
      <c r="P159" s="14"/>
      <c r="Q159" s="14"/>
      <c r="R159" s="15"/>
      <c r="S159" s="15"/>
      <c r="T159" s="14"/>
      <c r="U159" s="14"/>
      <c r="V159" s="8" t="str">
        <f aca="false">IF(AND(R159&lt;&gt;"",S159&lt;&gt;""),NETWORKDAYS(R159,S159)-1,"")</f>
        <v/>
      </c>
      <c r="W159" s="14"/>
    </row>
    <row r="160" customFormat="false" ht="15" hidden="false" customHeight="false" outlineLevel="0" collapsed="false">
      <c r="A160" s="14"/>
      <c r="B160" s="15"/>
      <c r="C160" s="14"/>
      <c r="D160" s="14"/>
      <c r="E160" s="14"/>
      <c r="F160" s="14"/>
      <c r="G160" s="14"/>
      <c r="H160" s="14"/>
      <c r="I160" s="14"/>
      <c r="J160" s="14"/>
      <c r="K160" s="14"/>
      <c r="L160" s="14"/>
      <c r="M160" s="14"/>
      <c r="N160" s="14"/>
      <c r="O160" s="14"/>
      <c r="P160" s="14"/>
      <c r="Q160" s="14"/>
      <c r="R160" s="15"/>
      <c r="S160" s="15"/>
      <c r="T160" s="14"/>
      <c r="U160" s="14"/>
      <c r="V160" s="8" t="str">
        <f aca="false">IF(AND(R160&lt;&gt;"",S160&lt;&gt;""),NETWORKDAYS(R160,S160)-1,"")</f>
        <v/>
      </c>
      <c r="W160" s="14"/>
    </row>
    <row r="161" customFormat="false" ht="15" hidden="false" customHeight="false" outlineLevel="0" collapsed="false">
      <c r="A161" s="14"/>
      <c r="B161" s="15"/>
      <c r="C161" s="14"/>
      <c r="D161" s="14"/>
      <c r="E161" s="14"/>
      <c r="F161" s="14"/>
      <c r="G161" s="14"/>
      <c r="H161" s="14"/>
      <c r="I161" s="14"/>
      <c r="J161" s="14"/>
      <c r="K161" s="14"/>
      <c r="L161" s="14"/>
      <c r="M161" s="14"/>
      <c r="N161" s="14"/>
      <c r="O161" s="14"/>
      <c r="P161" s="14"/>
      <c r="Q161" s="14"/>
      <c r="R161" s="15"/>
      <c r="S161" s="15"/>
      <c r="T161" s="14"/>
      <c r="U161" s="14"/>
      <c r="V161" s="8" t="str">
        <f aca="false">IF(AND(R161&lt;&gt;"",S161&lt;&gt;""),NETWORKDAYS(R161,S161)-1,"")</f>
        <v/>
      </c>
      <c r="W161" s="14"/>
    </row>
    <row r="162" customFormat="false" ht="15" hidden="false" customHeight="false" outlineLevel="0" collapsed="false">
      <c r="A162" s="14"/>
      <c r="B162" s="15"/>
      <c r="C162" s="14"/>
      <c r="D162" s="14"/>
      <c r="E162" s="14"/>
      <c r="F162" s="14"/>
      <c r="G162" s="14"/>
      <c r="H162" s="14"/>
      <c r="I162" s="14"/>
      <c r="J162" s="14"/>
      <c r="K162" s="14"/>
      <c r="L162" s="14"/>
      <c r="M162" s="14"/>
      <c r="N162" s="14"/>
      <c r="O162" s="14"/>
      <c r="P162" s="14"/>
      <c r="Q162" s="14"/>
      <c r="R162" s="15"/>
      <c r="S162" s="15"/>
      <c r="T162" s="14"/>
      <c r="U162" s="14"/>
      <c r="V162" s="8" t="str">
        <f aca="false">IF(AND(R162&lt;&gt;"",S162&lt;&gt;""),NETWORKDAYS(R162,S162)-1,"")</f>
        <v/>
      </c>
      <c r="W162" s="14"/>
    </row>
    <row r="163" customFormat="false" ht="15" hidden="false" customHeight="false" outlineLevel="0" collapsed="false">
      <c r="A163" s="14"/>
      <c r="B163" s="15"/>
      <c r="C163" s="14"/>
      <c r="D163" s="14"/>
      <c r="E163" s="14"/>
      <c r="F163" s="14"/>
      <c r="G163" s="14"/>
      <c r="H163" s="14"/>
      <c r="I163" s="14"/>
      <c r="J163" s="14"/>
      <c r="K163" s="14"/>
      <c r="L163" s="14"/>
      <c r="M163" s="14"/>
      <c r="N163" s="14"/>
      <c r="O163" s="14"/>
      <c r="P163" s="14"/>
      <c r="Q163" s="14"/>
      <c r="R163" s="15"/>
      <c r="S163" s="15"/>
      <c r="T163" s="14"/>
      <c r="U163" s="14"/>
      <c r="V163" s="8" t="str">
        <f aca="false">IF(AND(R163&lt;&gt;"",S163&lt;&gt;""),NETWORKDAYS(R163,S163)-1,"")</f>
        <v/>
      </c>
      <c r="W163" s="14"/>
    </row>
    <row r="164" customFormat="false" ht="15" hidden="false" customHeight="false" outlineLevel="0" collapsed="false">
      <c r="A164" s="14"/>
      <c r="B164" s="15"/>
      <c r="C164" s="14"/>
      <c r="D164" s="14"/>
      <c r="E164" s="14"/>
      <c r="F164" s="14"/>
      <c r="G164" s="14"/>
      <c r="H164" s="14"/>
      <c r="I164" s="14"/>
      <c r="J164" s="14"/>
      <c r="K164" s="14"/>
      <c r="L164" s="14"/>
      <c r="M164" s="14"/>
      <c r="N164" s="14"/>
      <c r="O164" s="14"/>
      <c r="P164" s="14"/>
      <c r="Q164" s="14"/>
      <c r="R164" s="15"/>
      <c r="S164" s="15"/>
      <c r="T164" s="14"/>
      <c r="U164" s="14"/>
      <c r="V164" s="8" t="str">
        <f aca="false">IF(AND(R164&lt;&gt;"",S164&lt;&gt;""),NETWORKDAYS(R164,S164)-1,"")</f>
        <v/>
      </c>
      <c r="W164" s="14"/>
    </row>
    <row r="165" customFormat="false" ht="15" hidden="false" customHeight="false" outlineLevel="0" collapsed="false">
      <c r="A165" s="14"/>
      <c r="B165" s="15"/>
      <c r="C165" s="14"/>
      <c r="D165" s="14"/>
      <c r="E165" s="14"/>
      <c r="F165" s="14"/>
      <c r="G165" s="14"/>
      <c r="H165" s="14"/>
      <c r="I165" s="14"/>
      <c r="J165" s="14"/>
      <c r="K165" s="14"/>
      <c r="L165" s="14"/>
      <c r="M165" s="14"/>
      <c r="N165" s="14"/>
      <c r="O165" s="14"/>
      <c r="P165" s="14"/>
      <c r="Q165" s="14"/>
      <c r="R165" s="15"/>
      <c r="S165" s="15"/>
      <c r="T165" s="14"/>
      <c r="U165" s="14"/>
      <c r="V165" s="8" t="str">
        <f aca="false">IF(AND(R165&lt;&gt;"",S165&lt;&gt;""),NETWORKDAYS(R165,S165)-1,"")</f>
        <v/>
      </c>
      <c r="W165" s="14"/>
    </row>
    <row r="166" customFormat="false" ht="15" hidden="false" customHeight="false" outlineLevel="0" collapsed="false">
      <c r="A166" s="14"/>
      <c r="B166" s="15"/>
      <c r="C166" s="14"/>
      <c r="D166" s="14"/>
      <c r="E166" s="14"/>
      <c r="F166" s="14"/>
      <c r="G166" s="14"/>
      <c r="H166" s="14"/>
      <c r="I166" s="14"/>
      <c r="J166" s="14"/>
      <c r="K166" s="14"/>
      <c r="L166" s="14"/>
      <c r="M166" s="14"/>
      <c r="N166" s="14"/>
      <c r="O166" s="14"/>
      <c r="P166" s="14"/>
      <c r="Q166" s="14"/>
      <c r="R166" s="15"/>
      <c r="S166" s="15"/>
      <c r="T166" s="14"/>
      <c r="U166" s="14"/>
      <c r="V166" s="8" t="str">
        <f aca="false">IF(AND(R166&lt;&gt;"",S166&lt;&gt;""),NETWORKDAYS(R166,S166)-1,"")</f>
        <v/>
      </c>
      <c r="W166" s="14"/>
    </row>
    <row r="167" customFormat="false" ht="15" hidden="false" customHeight="false" outlineLevel="0" collapsed="false">
      <c r="A167" s="14"/>
      <c r="B167" s="15"/>
      <c r="C167" s="14"/>
      <c r="D167" s="14"/>
      <c r="E167" s="14"/>
      <c r="F167" s="14"/>
      <c r="G167" s="14"/>
      <c r="H167" s="14"/>
      <c r="I167" s="14"/>
      <c r="J167" s="14"/>
      <c r="K167" s="14"/>
      <c r="L167" s="14"/>
      <c r="M167" s="14"/>
      <c r="N167" s="14"/>
      <c r="O167" s="14"/>
      <c r="P167" s="14"/>
      <c r="Q167" s="14"/>
      <c r="R167" s="15"/>
      <c r="S167" s="15"/>
      <c r="T167" s="14"/>
      <c r="U167" s="14"/>
      <c r="V167" s="8" t="str">
        <f aca="false">IF(AND(R167&lt;&gt;"",S167&lt;&gt;""),NETWORKDAYS(R167,S167)-1,"")</f>
        <v/>
      </c>
      <c r="W167" s="14"/>
    </row>
    <row r="168" customFormat="false" ht="15" hidden="false" customHeight="false" outlineLevel="0" collapsed="false">
      <c r="A168" s="14"/>
      <c r="B168" s="15"/>
      <c r="C168" s="14"/>
      <c r="D168" s="14"/>
      <c r="E168" s="14"/>
      <c r="F168" s="14"/>
      <c r="G168" s="14"/>
      <c r="H168" s="14"/>
      <c r="I168" s="14"/>
      <c r="J168" s="14"/>
      <c r="K168" s="14"/>
      <c r="L168" s="14"/>
      <c r="M168" s="14"/>
      <c r="N168" s="14"/>
      <c r="O168" s="14"/>
      <c r="P168" s="14"/>
      <c r="Q168" s="14"/>
      <c r="R168" s="15"/>
      <c r="S168" s="15"/>
      <c r="T168" s="14"/>
      <c r="U168" s="14"/>
      <c r="V168" s="8" t="str">
        <f aca="false">IF(AND(R168&lt;&gt;"",S168&lt;&gt;""),NETWORKDAYS(R168,S168)-1,"")</f>
        <v/>
      </c>
      <c r="W168" s="14"/>
    </row>
    <row r="169" customFormat="false" ht="15" hidden="false" customHeight="false" outlineLevel="0" collapsed="false">
      <c r="A169" s="14"/>
      <c r="B169" s="15"/>
      <c r="C169" s="14"/>
      <c r="D169" s="14"/>
      <c r="E169" s="14"/>
      <c r="F169" s="14"/>
      <c r="G169" s="14"/>
      <c r="H169" s="14"/>
      <c r="I169" s="14"/>
      <c r="J169" s="14"/>
      <c r="K169" s="14"/>
      <c r="L169" s="14"/>
      <c r="M169" s="14"/>
      <c r="N169" s="14"/>
      <c r="O169" s="14"/>
      <c r="P169" s="14"/>
      <c r="Q169" s="14"/>
      <c r="R169" s="15"/>
      <c r="S169" s="15"/>
      <c r="T169" s="14"/>
      <c r="U169" s="14"/>
      <c r="V169" s="8" t="str">
        <f aca="false">IF(AND(R169&lt;&gt;"",S169&lt;&gt;""),NETWORKDAYS(R169,S169)-1,"")</f>
        <v/>
      </c>
      <c r="W169" s="14"/>
    </row>
    <row r="170" customFormat="false" ht="15" hidden="false" customHeight="false" outlineLevel="0" collapsed="false">
      <c r="A170" s="14"/>
      <c r="B170" s="15"/>
      <c r="C170" s="14"/>
      <c r="D170" s="14"/>
      <c r="E170" s="14"/>
      <c r="F170" s="14"/>
      <c r="G170" s="14"/>
      <c r="H170" s="14"/>
      <c r="I170" s="14"/>
      <c r="J170" s="14"/>
      <c r="K170" s="14"/>
      <c r="L170" s="14"/>
      <c r="M170" s="14"/>
      <c r="N170" s="14"/>
      <c r="O170" s="14"/>
      <c r="P170" s="14"/>
      <c r="Q170" s="14"/>
      <c r="R170" s="15"/>
      <c r="S170" s="15"/>
      <c r="T170" s="14"/>
      <c r="U170" s="14"/>
      <c r="V170" s="8" t="str">
        <f aca="false">IF(AND(R170&lt;&gt;"",S170&lt;&gt;""),NETWORKDAYS(R170,S170)-1,"")</f>
        <v/>
      </c>
      <c r="W170" s="14"/>
    </row>
    <row r="171" customFormat="false" ht="15" hidden="false" customHeight="false" outlineLevel="0" collapsed="false">
      <c r="A171" s="14"/>
      <c r="B171" s="15"/>
      <c r="C171" s="14"/>
      <c r="D171" s="14"/>
      <c r="E171" s="14"/>
      <c r="F171" s="14"/>
      <c r="G171" s="14"/>
      <c r="H171" s="14"/>
      <c r="I171" s="14"/>
      <c r="J171" s="14"/>
      <c r="K171" s="14"/>
      <c r="L171" s="14"/>
      <c r="M171" s="14"/>
      <c r="N171" s="14"/>
      <c r="O171" s="14"/>
      <c r="P171" s="14"/>
      <c r="Q171" s="14"/>
      <c r="R171" s="15"/>
      <c r="S171" s="15"/>
      <c r="T171" s="14"/>
      <c r="U171" s="14"/>
      <c r="V171" s="8" t="str">
        <f aca="false">IF(AND(R171&lt;&gt;"",S171&lt;&gt;""),NETWORKDAYS(R171,S171)-1,"")</f>
        <v/>
      </c>
      <c r="W171" s="14"/>
    </row>
    <row r="172" customFormat="false" ht="15" hidden="false" customHeight="false" outlineLevel="0" collapsed="false">
      <c r="A172" s="14"/>
      <c r="B172" s="15"/>
      <c r="C172" s="14"/>
      <c r="D172" s="14"/>
      <c r="E172" s="14"/>
      <c r="F172" s="14"/>
      <c r="G172" s="14"/>
      <c r="H172" s="14"/>
      <c r="I172" s="14"/>
      <c r="J172" s="14"/>
      <c r="K172" s="14"/>
      <c r="L172" s="14"/>
      <c r="M172" s="14"/>
      <c r="N172" s="14"/>
      <c r="O172" s="14"/>
      <c r="P172" s="14"/>
      <c r="Q172" s="14"/>
      <c r="R172" s="15"/>
      <c r="S172" s="15"/>
      <c r="T172" s="14"/>
      <c r="U172" s="14"/>
      <c r="V172" s="8" t="str">
        <f aca="false">IF(AND(R172&lt;&gt;"",S172&lt;&gt;""),NETWORKDAYS(R172,S172)-1,"")</f>
        <v/>
      </c>
      <c r="W172" s="14"/>
    </row>
    <row r="173" customFormat="false" ht="15" hidden="false" customHeight="false" outlineLevel="0" collapsed="false">
      <c r="A173" s="14"/>
      <c r="B173" s="15"/>
      <c r="C173" s="14"/>
      <c r="D173" s="14"/>
      <c r="E173" s="14"/>
      <c r="F173" s="14"/>
      <c r="G173" s="14"/>
      <c r="H173" s="14"/>
      <c r="I173" s="14"/>
      <c r="J173" s="14"/>
      <c r="K173" s="14"/>
      <c r="L173" s="14"/>
      <c r="M173" s="14"/>
      <c r="N173" s="14"/>
      <c r="O173" s="14"/>
      <c r="P173" s="14"/>
      <c r="Q173" s="14"/>
      <c r="R173" s="15"/>
      <c r="S173" s="15"/>
      <c r="T173" s="14"/>
      <c r="U173" s="14"/>
      <c r="V173" s="8" t="str">
        <f aca="false">IF(AND(R173&lt;&gt;"",S173&lt;&gt;""),NETWORKDAYS(R173,S173)-1,"")</f>
        <v/>
      </c>
      <c r="W173" s="14"/>
    </row>
    <row r="174" customFormat="false" ht="15" hidden="false" customHeight="false" outlineLevel="0" collapsed="false">
      <c r="A174" s="14"/>
      <c r="B174" s="15"/>
      <c r="C174" s="14"/>
      <c r="D174" s="14"/>
      <c r="E174" s="14"/>
      <c r="F174" s="14"/>
      <c r="G174" s="14"/>
      <c r="H174" s="14"/>
      <c r="I174" s="14"/>
      <c r="J174" s="14"/>
      <c r="K174" s="14"/>
      <c r="L174" s="14"/>
      <c r="M174" s="14"/>
      <c r="N174" s="14"/>
      <c r="O174" s="14"/>
      <c r="P174" s="14"/>
      <c r="Q174" s="14"/>
      <c r="R174" s="15"/>
      <c r="S174" s="15"/>
      <c r="T174" s="14"/>
      <c r="U174" s="14"/>
      <c r="V174" s="8" t="str">
        <f aca="false">IF(AND(R174&lt;&gt;"",S174&lt;&gt;""),NETWORKDAYS(R174,S174)-1,"")</f>
        <v/>
      </c>
      <c r="W174" s="14"/>
    </row>
    <row r="175" customFormat="false" ht="15" hidden="false" customHeight="false" outlineLevel="0" collapsed="false">
      <c r="A175" s="14"/>
      <c r="B175" s="15"/>
      <c r="C175" s="14"/>
      <c r="D175" s="14"/>
      <c r="E175" s="14"/>
      <c r="F175" s="14"/>
      <c r="G175" s="14"/>
      <c r="H175" s="14"/>
      <c r="I175" s="14"/>
      <c r="J175" s="14"/>
      <c r="K175" s="14"/>
      <c r="L175" s="14"/>
      <c r="M175" s="14"/>
      <c r="N175" s="14"/>
      <c r="O175" s="14"/>
      <c r="P175" s="14"/>
      <c r="Q175" s="14"/>
      <c r="R175" s="15"/>
      <c r="S175" s="15"/>
      <c r="T175" s="14"/>
      <c r="U175" s="14"/>
      <c r="V175" s="8" t="str">
        <f aca="false">IF(AND(R175&lt;&gt;"",S175&lt;&gt;""),NETWORKDAYS(R175,S175)-1,"")</f>
        <v/>
      </c>
      <c r="W175" s="14"/>
    </row>
    <row r="176" customFormat="false" ht="15" hidden="false" customHeight="false" outlineLevel="0" collapsed="false">
      <c r="A176" s="14"/>
      <c r="B176" s="15"/>
      <c r="C176" s="14"/>
      <c r="D176" s="14"/>
      <c r="E176" s="14"/>
      <c r="F176" s="14"/>
      <c r="G176" s="14"/>
      <c r="H176" s="14"/>
      <c r="I176" s="14"/>
      <c r="J176" s="14"/>
      <c r="K176" s="14"/>
      <c r="L176" s="14"/>
      <c r="M176" s="14"/>
      <c r="N176" s="14"/>
      <c r="O176" s="14"/>
      <c r="P176" s="14"/>
      <c r="Q176" s="14"/>
      <c r="R176" s="15"/>
      <c r="S176" s="15"/>
      <c r="T176" s="14"/>
      <c r="U176" s="14"/>
      <c r="V176" s="8" t="str">
        <f aca="false">IF(AND(R176&lt;&gt;"",S176&lt;&gt;""),NETWORKDAYS(R176,S176)-1,"")</f>
        <v/>
      </c>
      <c r="W176" s="14"/>
    </row>
    <row r="177" customFormat="false" ht="15" hidden="false" customHeight="false" outlineLevel="0" collapsed="false">
      <c r="A177" s="14"/>
      <c r="B177" s="15"/>
      <c r="C177" s="14"/>
      <c r="D177" s="14"/>
      <c r="E177" s="14"/>
      <c r="F177" s="14"/>
      <c r="G177" s="14"/>
      <c r="H177" s="14"/>
      <c r="I177" s="14"/>
      <c r="J177" s="14"/>
      <c r="K177" s="14"/>
      <c r="L177" s="14"/>
      <c r="M177" s="14"/>
      <c r="N177" s="14"/>
      <c r="O177" s="14"/>
      <c r="P177" s="14"/>
      <c r="Q177" s="14"/>
      <c r="R177" s="15"/>
      <c r="S177" s="15"/>
      <c r="T177" s="14"/>
      <c r="U177" s="14"/>
      <c r="V177" s="8" t="str">
        <f aca="false">IF(AND(R177&lt;&gt;"",S177&lt;&gt;""),NETWORKDAYS(R177,S177)-1,"")</f>
        <v/>
      </c>
      <c r="W177" s="14"/>
    </row>
    <row r="178" customFormat="false" ht="15" hidden="false" customHeight="false" outlineLevel="0" collapsed="false">
      <c r="A178" s="14"/>
      <c r="B178" s="15"/>
      <c r="C178" s="14"/>
      <c r="D178" s="14"/>
      <c r="E178" s="14"/>
      <c r="F178" s="14"/>
      <c r="G178" s="14"/>
      <c r="H178" s="14"/>
      <c r="I178" s="14"/>
      <c r="J178" s="14"/>
      <c r="K178" s="14"/>
      <c r="L178" s="14"/>
      <c r="M178" s="14"/>
      <c r="N178" s="14"/>
      <c r="O178" s="14"/>
      <c r="P178" s="14"/>
      <c r="Q178" s="14"/>
      <c r="R178" s="15"/>
      <c r="S178" s="15"/>
      <c r="T178" s="14"/>
      <c r="U178" s="14"/>
      <c r="V178" s="8" t="str">
        <f aca="false">IF(AND(R178&lt;&gt;"",S178&lt;&gt;""),NETWORKDAYS(R178,S178)-1,"")</f>
        <v/>
      </c>
      <c r="W178" s="14"/>
    </row>
    <row r="179" customFormat="false" ht="15" hidden="false" customHeight="false" outlineLevel="0" collapsed="false">
      <c r="A179" s="14"/>
      <c r="B179" s="15"/>
      <c r="C179" s="14"/>
      <c r="D179" s="14"/>
      <c r="E179" s="14"/>
      <c r="F179" s="14"/>
      <c r="G179" s="14"/>
      <c r="H179" s="14"/>
      <c r="I179" s="14"/>
      <c r="J179" s="14"/>
      <c r="K179" s="14"/>
      <c r="L179" s="14"/>
      <c r="M179" s="14"/>
      <c r="N179" s="14"/>
      <c r="O179" s="14"/>
      <c r="P179" s="14"/>
      <c r="Q179" s="14"/>
      <c r="R179" s="15"/>
      <c r="S179" s="15"/>
      <c r="T179" s="14"/>
      <c r="U179" s="14"/>
      <c r="V179" s="8" t="str">
        <f aca="false">IF(AND(R179&lt;&gt;"",S179&lt;&gt;""),NETWORKDAYS(R179,S179)-1,"")</f>
        <v/>
      </c>
      <c r="W179" s="14"/>
    </row>
    <row r="180" customFormat="false" ht="15" hidden="false" customHeight="false" outlineLevel="0" collapsed="false">
      <c r="A180" s="14"/>
      <c r="B180" s="15"/>
      <c r="C180" s="14"/>
      <c r="D180" s="14"/>
      <c r="E180" s="14"/>
      <c r="F180" s="14"/>
      <c r="G180" s="14"/>
      <c r="H180" s="14"/>
      <c r="I180" s="14"/>
      <c r="J180" s="14"/>
      <c r="K180" s="14"/>
      <c r="L180" s="14"/>
      <c r="M180" s="14"/>
      <c r="N180" s="14"/>
      <c r="O180" s="14"/>
      <c r="P180" s="14"/>
      <c r="Q180" s="14"/>
      <c r="R180" s="15"/>
      <c r="S180" s="15"/>
      <c r="T180" s="14"/>
      <c r="U180" s="14"/>
      <c r="V180" s="8" t="str">
        <f aca="false">IF(AND(R180&lt;&gt;"",S180&lt;&gt;""),NETWORKDAYS(R180,S180)-1,"")</f>
        <v/>
      </c>
      <c r="W180" s="14"/>
    </row>
    <row r="181" customFormat="false" ht="15" hidden="false" customHeight="false" outlineLevel="0" collapsed="false">
      <c r="A181" s="14"/>
      <c r="B181" s="15"/>
      <c r="C181" s="14"/>
      <c r="D181" s="14"/>
      <c r="E181" s="14"/>
      <c r="F181" s="14"/>
      <c r="G181" s="14"/>
      <c r="H181" s="14"/>
      <c r="I181" s="14"/>
      <c r="J181" s="14"/>
      <c r="K181" s="14"/>
      <c r="L181" s="14"/>
      <c r="M181" s="14"/>
      <c r="N181" s="14"/>
      <c r="O181" s="14"/>
      <c r="P181" s="14"/>
      <c r="Q181" s="14"/>
      <c r="R181" s="15"/>
      <c r="S181" s="15"/>
      <c r="T181" s="14"/>
      <c r="U181" s="14"/>
      <c r="V181" s="8" t="str">
        <f aca="false">IF(AND(R181&lt;&gt;"",S181&lt;&gt;""),NETWORKDAYS(R181,S181)-1,"")</f>
        <v/>
      </c>
      <c r="W181" s="14"/>
    </row>
    <row r="182" customFormat="false" ht="15" hidden="false" customHeight="false" outlineLevel="0" collapsed="false">
      <c r="A182" s="14"/>
      <c r="B182" s="15"/>
      <c r="C182" s="14"/>
      <c r="D182" s="14"/>
      <c r="E182" s="14"/>
      <c r="F182" s="14"/>
      <c r="G182" s="14"/>
      <c r="H182" s="14"/>
      <c r="I182" s="14"/>
      <c r="J182" s="14"/>
      <c r="K182" s="14"/>
      <c r="L182" s="14"/>
      <c r="M182" s="14"/>
      <c r="N182" s="14"/>
      <c r="O182" s="14"/>
      <c r="P182" s="14"/>
      <c r="Q182" s="14"/>
      <c r="R182" s="15"/>
      <c r="S182" s="15"/>
      <c r="T182" s="14"/>
      <c r="U182" s="14"/>
      <c r="V182" s="8" t="str">
        <f aca="false">IF(AND(R182&lt;&gt;"",S182&lt;&gt;""),NETWORKDAYS(R182,S182)-1,"")</f>
        <v/>
      </c>
      <c r="W182" s="14"/>
    </row>
    <row r="183" customFormat="false" ht="15" hidden="false" customHeight="false" outlineLevel="0" collapsed="false">
      <c r="A183" s="14"/>
      <c r="B183" s="15"/>
      <c r="C183" s="14"/>
      <c r="D183" s="14"/>
      <c r="E183" s="14"/>
      <c r="F183" s="14"/>
      <c r="G183" s="14"/>
      <c r="H183" s="14"/>
      <c r="I183" s="14"/>
      <c r="J183" s="14"/>
      <c r="K183" s="14"/>
      <c r="L183" s="14"/>
      <c r="M183" s="14"/>
      <c r="N183" s="14"/>
      <c r="O183" s="14"/>
      <c r="P183" s="14"/>
      <c r="Q183" s="14"/>
      <c r="R183" s="15"/>
      <c r="S183" s="15"/>
      <c r="T183" s="14"/>
      <c r="U183" s="14"/>
      <c r="V183" s="8" t="str">
        <f aca="false">IF(AND(R183&lt;&gt;"",S183&lt;&gt;""),NETWORKDAYS(R183,S183)-1,"")</f>
        <v/>
      </c>
      <c r="W183" s="14"/>
    </row>
    <row r="184" customFormat="false" ht="15" hidden="false" customHeight="false" outlineLevel="0" collapsed="false">
      <c r="A184" s="14"/>
      <c r="B184" s="15"/>
      <c r="C184" s="14"/>
      <c r="D184" s="14"/>
      <c r="E184" s="14"/>
      <c r="F184" s="14"/>
      <c r="G184" s="14"/>
      <c r="H184" s="14"/>
      <c r="I184" s="14"/>
      <c r="J184" s="14"/>
      <c r="K184" s="14"/>
      <c r="L184" s="14"/>
      <c r="M184" s="14"/>
      <c r="N184" s="14"/>
      <c r="O184" s="14"/>
      <c r="P184" s="14"/>
      <c r="Q184" s="14"/>
      <c r="R184" s="15"/>
      <c r="S184" s="15"/>
      <c r="T184" s="14"/>
      <c r="U184" s="14"/>
      <c r="V184" s="8" t="str">
        <f aca="false">IF(AND(R184&lt;&gt;"",S184&lt;&gt;""),NETWORKDAYS(R184,S184)-1,"")</f>
        <v/>
      </c>
      <c r="W184" s="14"/>
    </row>
    <row r="185" customFormat="false" ht="15" hidden="false" customHeight="false" outlineLevel="0" collapsed="false">
      <c r="A185" s="14"/>
      <c r="B185" s="15"/>
      <c r="C185" s="14"/>
      <c r="D185" s="14"/>
      <c r="E185" s="14"/>
      <c r="F185" s="14"/>
      <c r="G185" s="14"/>
      <c r="H185" s="14"/>
      <c r="I185" s="14"/>
      <c r="J185" s="14"/>
      <c r="K185" s="14"/>
      <c r="L185" s="14"/>
      <c r="M185" s="14"/>
      <c r="N185" s="14"/>
      <c r="O185" s="14"/>
      <c r="P185" s="14"/>
      <c r="Q185" s="14"/>
      <c r="R185" s="15"/>
      <c r="S185" s="15"/>
      <c r="T185" s="14"/>
      <c r="U185" s="14"/>
      <c r="V185" s="8" t="str">
        <f aca="false">IF(AND(R185&lt;&gt;"",S185&lt;&gt;""),NETWORKDAYS(R185,S185)-1,"")</f>
        <v/>
      </c>
      <c r="W185" s="14"/>
    </row>
    <row r="186" customFormat="false" ht="15" hidden="false" customHeight="false" outlineLevel="0" collapsed="false">
      <c r="A186" s="14"/>
      <c r="B186" s="15"/>
      <c r="C186" s="14"/>
      <c r="D186" s="14"/>
      <c r="E186" s="14"/>
      <c r="F186" s="14"/>
      <c r="G186" s="14"/>
      <c r="H186" s="14"/>
      <c r="I186" s="14"/>
      <c r="J186" s="14"/>
      <c r="K186" s="14"/>
      <c r="L186" s="14"/>
      <c r="M186" s="14"/>
      <c r="N186" s="14"/>
      <c r="O186" s="14"/>
      <c r="P186" s="14"/>
      <c r="Q186" s="14"/>
      <c r="R186" s="15"/>
      <c r="S186" s="15"/>
      <c r="T186" s="14"/>
      <c r="U186" s="14"/>
      <c r="V186" s="8" t="str">
        <f aca="false">IF(AND(R186&lt;&gt;"",S186&lt;&gt;""),NETWORKDAYS(R186,S186)-1,"")</f>
        <v/>
      </c>
      <c r="W186" s="14"/>
    </row>
    <row r="187" customFormat="false" ht="15" hidden="false" customHeight="false" outlineLevel="0" collapsed="false">
      <c r="A187" s="14"/>
      <c r="B187" s="15"/>
      <c r="C187" s="14"/>
      <c r="D187" s="14"/>
      <c r="E187" s="14"/>
      <c r="F187" s="14"/>
      <c r="G187" s="14"/>
      <c r="H187" s="14"/>
      <c r="I187" s="14"/>
      <c r="J187" s="14"/>
      <c r="K187" s="14"/>
      <c r="L187" s="14"/>
      <c r="M187" s="14"/>
      <c r="N187" s="14"/>
      <c r="O187" s="14"/>
      <c r="P187" s="14"/>
      <c r="Q187" s="14"/>
      <c r="R187" s="15"/>
      <c r="S187" s="15"/>
      <c r="T187" s="14"/>
      <c r="U187" s="14"/>
      <c r="V187" s="8" t="str">
        <f aca="false">IF(AND(R187&lt;&gt;"",S187&lt;&gt;""),NETWORKDAYS(R187,S187)-1,"")</f>
        <v/>
      </c>
      <c r="W187" s="14"/>
    </row>
    <row r="188" customFormat="false" ht="15" hidden="false" customHeight="false" outlineLevel="0" collapsed="false">
      <c r="A188" s="14"/>
      <c r="B188" s="15"/>
      <c r="C188" s="14"/>
      <c r="D188" s="14"/>
      <c r="E188" s="14"/>
      <c r="F188" s="14"/>
      <c r="G188" s="14"/>
      <c r="H188" s="14"/>
      <c r="I188" s="14"/>
      <c r="J188" s="14"/>
      <c r="K188" s="14"/>
      <c r="L188" s="14"/>
      <c r="M188" s="14"/>
      <c r="N188" s="14"/>
      <c r="O188" s="14"/>
      <c r="P188" s="14"/>
      <c r="Q188" s="14"/>
      <c r="R188" s="15"/>
      <c r="S188" s="15"/>
      <c r="T188" s="14"/>
      <c r="U188" s="14"/>
      <c r="V188" s="8" t="str">
        <f aca="false">IF(AND(R188&lt;&gt;"",S188&lt;&gt;""),NETWORKDAYS(R188,S188)-1,"")</f>
        <v/>
      </c>
      <c r="W188" s="14"/>
    </row>
    <row r="189" customFormat="false" ht="15" hidden="false" customHeight="false" outlineLevel="0" collapsed="false">
      <c r="A189" s="14"/>
      <c r="B189" s="15"/>
      <c r="C189" s="14"/>
      <c r="D189" s="14"/>
      <c r="E189" s="14"/>
      <c r="F189" s="14"/>
      <c r="G189" s="14"/>
      <c r="H189" s="14"/>
      <c r="I189" s="14"/>
      <c r="J189" s="14"/>
      <c r="K189" s="14"/>
      <c r="L189" s="14"/>
      <c r="M189" s="14"/>
      <c r="N189" s="14"/>
      <c r="O189" s="14"/>
      <c r="P189" s="14"/>
      <c r="Q189" s="14"/>
      <c r="R189" s="15"/>
      <c r="S189" s="15"/>
      <c r="T189" s="14"/>
      <c r="U189" s="14"/>
      <c r="V189" s="8" t="str">
        <f aca="false">IF(AND(R189&lt;&gt;"",S189&lt;&gt;""),NETWORKDAYS(R189,S189)-1,"")</f>
        <v/>
      </c>
      <c r="W189" s="14"/>
    </row>
    <row r="190" customFormat="false" ht="15" hidden="false" customHeight="false" outlineLevel="0" collapsed="false">
      <c r="A190" s="14"/>
      <c r="B190" s="15"/>
      <c r="C190" s="14"/>
      <c r="D190" s="14"/>
      <c r="E190" s="14"/>
      <c r="F190" s="14"/>
      <c r="G190" s="14"/>
      <c r="H190" s="14"/>
      <c r="I190" s="14"/>
      <c r="J190" s="14"/>
      <c r="K190" s="14"/>
      <c r="L190" s="14"/>
      <c r="M190" s="14"/>
      <c r="N190" s="14"/>
      <c r="O190" s="14"/>
      <c r="P190" s="14"/>
      <c r="Q190" s="14"/>
      <c r="R190" s="15"/>
      <c r="S190" s="15"/>
      <c r="T190" s="14"/>
      <c r="U190" s="14"/>
      <c r="V190" s="8" t="str">
        <f aca="false">IF(AND(R190&lt;&gt;"",S190&lt;&gt;""),NETWORKDAYS(R190,S190)-1,"")</f>
        <v/>
      </c>
      <c r="W190" s="14"/>
    </row>
    <row r="191" customFormat="false" ht="15" hidden="false" customHeight="false" outlineLevel="0" collapsed="false">
      <c r="A191" s="14"/>
      <c r="B191" s="15"/>
      <c r="C191" s="14"/>
      <c r="D191" s="14"/>
      <c r="E191" s="14"/>
      <c r="F191" s="14"/>
      <c r="G191" s="14"/>
      <c r="H191" s="14"/>
      <c r="I191" s="14"/>
      <c r="J191" s="14"/>
      <c r="K191" s="14"/>
      <c r="L191" s="14"/>
      <c r="M191" s="14"/>
      <c r="N191" s="14"/>
      <c r="O191" s="14"/>
      <c r="P191" s="14"/>
      <c r="Q191" s="14"/>
      <c r="R191" s="15"/>
      <c r="S191" s="15"/>
      <c r="T191" s="14"/>
      <c r="U191" s="14"/>
      <c r="V191" s="8" t="str">
        <f aca="false">IF(AND(R191&lt;&gt;"",S191&lt;&gt;""),NETWORKDAYS(R191,S191)-1,"")</f>
        <v/>
      </c>
      <c r="W191" s="14"/>
    </row>
    <row r="192" customFormat="false" ht="15" hidden="false" customHeight="false" outlineLevel="0" collapsed="false">
      <c r="A192" s="14"/>
      <c r="B192" s="15"/>
      <c r="C192" s="14"/>
      <c r="D192" s="14"/>
      <c r="E192" s="14"/>
      <c r="F192" s="14"/>
      <c r="G192" s="14"/>
      <c r="H192" s="14"/>
      <c r="I192" s="14"/>
      <c r="J192" s="14"/>
      <c r="K192" s="14"/>
      <c r="L192" s="14"/>
      <c r="M192" s="14"/>
      <c r="N192" s="14"/>
      <c r="O192" s="14"/>
      <c r="P192" s="14"/>
      <c r="Q192" s="14"/>
      <c r="R192" s="15"/>
      <c r="S192" s="15"/>
      <c r="T192" s="14"/>
      <c r="U192" s="14"/>
      <c r="V192" s="8" t="str">
        <f aca="false">IF(AND(R192&lt;&gt;"",S192&lt;&gt;""),NETWORKDAYS(R192,S192)-1,"")</f>
        <v/>
      </c>
      <c r="W192" s="14"/>
    </row>
    <row r="193" customFormat="false" ht="15" hidden="false" customHeight="false" outlineLevel="0" collapsed="false">
      <c r="A193" s="14"/>
      <c r="B193" s="15"/>
      <c r="C193" s="14"/>
      <c r="D193" s="14"/>
      <c r="E193" s="14"/>
      <c r="F193" s="14"/>
      <c r="G193" s="14"/>
      <c r="H193" s="14"/>
      <c r="I193" s="14"/>
      <c r="J193" s="14"/>
      <c r="K193" s="14"/>
      <c r="L193" s="14"/>
      <c r="M193" s="14"/>
      <c r="N193" s="14"/>
      <c r="O193" s="14"/>
      <c r="P193" s="14"/>
      <c r="Q193" s="14"/>
      <c r="R193" s="15"/>
      <c r="S193" s="15"/>
      <c r="T193" s="14"/>
      <c r="U193" s="14"/>
      <c r="V193" s="8" t="str">
        <f aca="false">IF(AND(R193&lt;&gt;"",S193&lt;&gt;""),NETWORKDAYS(R193,S193)-1,"")</f>
        <v/>
      </c>
      <c r="W193" s="14"/>
    </row>
    <row r="194" customFormat="false" ht="15" hidden="false" customHeight="false" outlineLevel="0" collapsed="false">
      <c r="A194" s="14"/>
      <c r="B194" s="15"/>
      <c r="C194" s="14"/>
      <c r="D194" s="14"/>
      <c r="E194" s="14"/>
      <c r="F194" s="14"/>
      <c r="G194" s="14"/>
      <c r="H194" s="14"/>
      <c r="I194" s="14"/>
      <c r="J194" s="14"/>
      <c r="K194" s="14"/>
      <c r="L194" s="14"/>
      <c r="M194" s="14"/>
      <c r="N194" s="14"/>
      <c r="O194" s="14"/>
      <c r="P194" s="14"/>
      <c r="Q194" s="14"/>
      <c r="R194" s="15"/>
      <c r="S194" s="15"/>
      <c r="T194" s="14"/>
      <c r="U194" s="14"/>
      <c r="V194" s="8" t="str">
        <f aca="false">IF(AND(R194&lt;&gt;"",S194&lt;&gt;""),NETWORKDAYS(R194,S194)-1,"")</f>
        <v/>
      </c>
      <c r="W194" s="14"/>
    </row>
    <row r="195" customFormat="false" ht="15" hidden="false" customHeight="false" outlineLevel="0" collapsed="false">
      <c r="A195" s="14"/>
      <c r="B195" s="15"/>
      <c r="C195" s="14"/>
      <c r="D195" s="14"/>
      <c r="E195" s="14"/>
      <c r="F195" s="14"/>
      <c r="G195" s="14"/>
      <c r="H195" s="14"/>
      <c r="I195" s="14"/>
      <c r="J195" s="14"/>
      <c r="K195" s="14"/>
      <c r="L195" s="14"/>
      <c r="M195" s="14"/>
      <c r="N195" s="14"/>
      <c r="O195" s="14"/>
      <c r="P195" s="14"/>
      <c r="Q195" s="14"/>
      <c r="R195" s="15"/>
      <c r="S195" s="15"/>
      <c r="T195" s="14"/>
      <c r="U195" s="14"/>
      <c r="V195" s="8" t="str">
        <f aca="false">IF(AND(R195&lt;&gt;"",S195&lt;&gt;""),NETWORKDAYS(R195,S195)-1,"")</f>
        <v/>
      </c>
      <c r="W195" s="14"/>
    </row>
    <row r="196" customFormat="false" ht="15" hidden="false" customHeight="false" outlineLevel="0" collapsed="false">
      <c r="A196" s="14"/>
      <c r="B196" s="15"/>
      <c r="C196" s="14"/>
      <c r="D196" s="14"/>
      <c r="E196" s="14"/>
      <c r="F196" s="14"/>
      <c r="G196" s="14"/>
      <c r="H196" s="14"/>
      <c r="I196" s="14"/>
      <c r="J196" s="14"/>
      <c r="K196" s="14"/>
      <c r="L196" s="14"/>
      <c r="M196" s="14"/>
      <c r="N196" s="14"/>
      <c r="O196" s="14"/>
      <c r="P196" s="14"/>
      <c r="Q196" s="14"/>
      <c r="R196" s="15"/>
      <c r="S196" s="15"/>
      <c r="T196" s="14"/>
      <c r="U196" s="14"/>
      <c r="V196" s="8" t="str">
        <f aca="false">IF(AND(R196&lt;&gt;"",S196&lt;&gt;""),NETWORKDAYS(R196,S196)-1,"")</f>
        <v/>
      </c>
      <c r="W196" s="14"/>
    </row>
    <row r="197" customFormat="false" ht="15" hidden="false" customHeight="false" outlineLevel="0" collapsed="false">
      <c r="A197" s="14"/>
      <c r="B197" s="15"/>
      <c r="C197" s="14"/>
      <c r="D197" s="14"/>
      <c r="E197" s="14"/>
      <c r="F197" s="14"/>
      <c r="G197" s="14"/>
      <c r="H197" s="14"/>
      <c r="I197" s="14"/>
      <c r="J197" s="14"/>
      <c r="K197" s="14"/>
      <c r="L197" s="14"/>
      <c r="M197" s="14"/>
      <c r="N197" s="14"/>
      <c r="O197" s="14"/>
      <c r="P197" s="14"/>
      <c r="Q197" s="14"/>
      <c r="R197" s="15"/>
      <c r="S197" s="15"/>
      <c r="T197" s="14"/>
      <c r="U197" s="14"/>
      <c r="V197" s="8" t="str">
        <f aca="false">IF(AND(R197&lt;&gt;"",S197&lt;&gt;""),NETWORKDAYS(R197,S197)-1,"")</f>
        <v/>
      </c>
      <c r="W197" s="14"/>
    </row>
    <row r="198" customFormat="false" ht="15" hidden="false" customHeight="false" outlineLevel="0" collapsed="false">
      <c r="A198" s="14"/>
      <c r="B198" s="15"/>
      <c r="C198" s="14"/>
      <c r="D198" s="14"/>
      <c r="E198" s="14"/>
      <c r="F198" s="14"/>
      <c r="G198" s="14"/>
      <c r="H198" s="14"/>
      <c r="I198" s="14"/>
      <c r="J198" s="14"/>
      <c r="K198" s="14"/>
      <c r="L198" s="14"/>
      <c r="M198" s="14"/>
      <c r="N198" s="14"/>
      <c r="O198" s="14"/>
      <c r="P198" s="14"/>
      <c r="Q198" s="14"/>
      <c r="R198" s="15"/>
      <c r="S198" s="15"/>
      <c r="T198" s="14"/>
      <c r="U198" s="14"/>
      <c r="V198" s="8" t="str">
        <f aca="false">IF(AND(R198&lt;&gt;"",S198&lt;&gt;""),NETWORKDAYS(R198,S198)-1,"")</f>
        <v/>
      </c>
      <c r="W198" s="14"/>
    </row>
    <row r="199" customFormat="false" ht="15" hidden="false" customHeight="false" outlineLevel="0" collapsed="false">
      <c r="A199" s="14"/>
      <c r="B199" s="15"/>
      <c r="C199" s="14"/>
      <c r="D199" s="14"/>
      <c r="E199" s="14"/>
      <c r="F199" s="14"/>
      <c r="G199" s="14"/>
      <c r="H199" s="14"/>
      <c r="I199" s="14"/>
      <c r="J199" s="14"/>
      <c r="K199" s="14"/>
      <c r="L199" s="14"/>
      <c r="M199" s="14"/>
      <c r="N199" s="14"/>
      <c r="O199" s="14"/>
      <c r="P199" s="14"/>
      <c r="Q199" s="14"/>
      <c r="R199" s="15"/>
      <c r="S199" s="15"/>
      <c r="T199" s="14"/>
      <c r="U199" s="14"/>
      <c r="V199" s="8" t="str">
        <f aca="false">IF(AND(R199&lt;&gt;"",S199&lt;&gt;""),NETWORKDAYS(R199,S199)-1,"")</f>
        <v/>
      </c>
      <c r="W199" s="14"/>
    </row>
    <row r="200" customFormat="false" ht="15" hidden="false" customHeight="false" outlineLevel="0" collapsed="false">
      <c r="A200" s="14"/>
      <c r="B200" s="15"/>
      <c r="C200" s="14"/>
      <c r="D200" s="14"/>
      <c r="E200" s="14"/>
      <c r="F200" s="14"/>
      <c r="G200" s="14"/>
      <c r="H200" s="14"/>
      <c r="I200" s="14"/>
      <c r="J200" s="14"/>
      <c r="K200" s="14"/>
      <c r="L200" s="14"/>
      <c r="M200" s="14"/>
      <c r="N200" s="14"/>
      <c r="O200" s="14"/>
      <c r="P200" s="14"/>
      <c r="Q200" s="14"/>
      <c r="R200" s="15"/>
      <c r="S200" s="15"/>
      <c r="T200" s="14"/>
      <c r="U200" s="14"/>
      <c r="V200" s="8" t="str">
        <f aca="false">IF(AND(R200&lt;&gt;"",S200&lt;&gt;""),NETWORKDAYS(R200,S200)-1,"")</f>
        <v/>
      </c>
      <c r="W200" s="14"/>
    </row>
    <row r="201" customFormat="false" ht="15" hidden="false" customHeight="false" outlineLevel="0" collapsed="false">
      <c r="A201" s="14"/>
      <c r="B201" s="15"/>
      <c r="C201" s="14"/>
      <c r="D201" s="14"/>
      <c r="E201" s="14"/>
      <c r="F201" s="14"/>
      <c r="G201" s="14"/>
      <c r="H201" s="14"/>
      <c r="I201" s="14"/>
      <c r="J201" s="14"/>
      <c r="K201" s="14"/>
      <c r="L201" s="14"/>
      <c r="M201" s="14"/>
      <c r="N201" s="14"/>
      <c r="O201" s="14"/>
      <c r="P201" s="14"/>
      <c r="Q201" s="14"/>
      <c r="R201" s="15"/>
      <c r="S201" s="15"/>
      <c r="T201" s="14"/>
      <c r="U201" s="14"/>
      <c r="V201" s="8" t="str">
        <f aca="false">IF(AND(R201&lt;&gt;"",S201&lt;&gt;""),NETWORKDAYS(R201,S201)-1,"")</f>
        <v/>
      </c>
      <c r="W201" s="14"/>
    </row>
    <row r="202" customFormat="false" ht="15" hidden="false" customHeight="false" outlineLevel="0" collapsed="false">
      <c r="A202" s="14"/>
      <c r="B202" s="15"/>
      <c r="C202" s="14"/>
      <c r="D202" s="14"/>
      <c r="E202" s="14"/>
      <c r="F202" s="14"/>
      <c r="G202" s="14"/>
      <c r="H202" s="14"/>
      <c r="I202" s="14"/>
      <c r="J202" s="14"/>
      <c r="K202" s="14"/>
      <c r="L202" s="14"/>
      <c r="M202" s="14"/>
      <c r="N202" s="14"/>
      <c r="O202" s="14"/>
      <c r="P202" s="14"/>
      <c r="Q202" s="14"/>
      <c r="R202" s="15"/>
      <c r="S202" s="15"/>
      <c r="T202" s="14"/>
      <c r="U202" s="14"/>
      <c r="V202" s="8" t="str">
        <f aca="false">IF(AND(R202&lt;&gt;"",S202&lt;&gt;""),NETWORKDAYS(R202,S202)-1,"")</f>
        <v/>
      </c>
      <c r="W202" s="14"/>
    </row>
    <row r="203" customFormat="false" ht="15" hidden="false" customHeight="false" outlineLevel="0" collapsed="false">
      <c r="A203" s="14"/>
      <c r="B203" s="15"/>
      <c r="C203" s="14"/>
      <c r="D203" s="14"/>
      <c r="E203" s="14"/>
      <c r="F203" s="14"/>
      <c r="G203" s="14"/>
      <c r="H203" s="14"/>
      <c r="I203" s="14"/>
      <c r="J203" s="14"/>
      <c r="K203" s="14"/>
      <c r="L203" s="14"/>
      <c r="M203" s="14"/>
      <c r="N203" s="14"/>
      <c r="O203" s="14"/>
      <c r="P203" s="14"/>
      <c r="Q203" s="14"/>
      <c r="R203" s="15"/>
      <c r="S203" s="15"/>
      <c r="T203" s="14"/>
      <c r="U203" s="14"/>
      <c r="V203" s="8" t="str">
        <f aca="false">IF(AND(R203&lt;&gt;"",S203&lt;&gt;""),NETWORKDAYS(R203,S203)-1,"")</f>
        <v/>
      </c>
      <c r="W203" s="14"/>
    </row>
    <row r="204" customFormat="false" ht="15" hidden="false" customHeight="false" outlineLevel="0" collapsed="false">
      <c r="A204" s="14"/>
      <c r="B204" s="15"/>
      <c r="C204" s="14"/>
      <c r="D204" s="14"/>
      <c r="E204" s="14"/>
      <c r="F204" s="14"/>
      <c r="G204" s="14"/>
      <c r="H204" s="14"/>
      <c r="I204" s="14"/>
      <c r="J204" s="14"/>
      <c r="K204" s="14"/>
      <c r="L204" s="14"/>
      <c r="M204" s="14"/>
      <c r="N204" s="14"/>
      <c r="O204" s="14"/>
      <c r="P204" s="14"/>
      <c r="Q204" s="14"/>
      <c r="R204" s="15"/>
      <c r="S204" s="15"/>
      <c r="T204" s="14"/>
      <c r="U204" s="14"/>
      <c r="V204" s="8" t="str">
        <f aca="false">IF(AND(R204&lt;&gt;"",S204&lt;&gt;""),NETWORKDAYS(R204,S204)-1,"")</f>
        <v/>
      </c>
      <c r="W204" s="14"/>
    </row>
    <row r="205" customFormat="false" ht="15" hidden="false" customHeight="false" outlineLevel="0" collapsed="false">
      <c r="A205" s="14"/>
      <c r="B205" s="15"/>
      <c r="C205" s="14"/>
      <c r="D205" s="14"/>
      <c r="E205" s="14"/>
      <c r="F205" s="14"/>
      <c r="G205" s="14"/>
      <c r="H205" s="14"/>
      <c r="I205" s="14"/>
      <c r="J205" s="14"/>
      <c r="K205" s="14"/>
      <c r="L205" s="14"/>
      <c r="M205" s="14"/>
      <c r="N205" s="14"/>
      <c r="O205" s="14"/>
      <c r="P205" s="14"/>
      <c r="Q205" s="14"/>
      <c r="R205" s="15"/>
      <c r="S205" s="15"/>
      <c r="T205" s="14"/>
      <c r="U205" s="14"/>
      <c r="V205" s="8" t="str">
        <f aca="false">IF(AND(R205&lt;&gt;"",S205&lt;&gt;""),NETWORKDAYS(R205,S205)-1,"")</f>
        <v/>
      </c>
      <c r="W205" s="14"/>
    </row>
    <row r="206" customFormat="false" ht="15" hidden="false" customHeight="false" outlineLevel="0" collapsed="false">
      <c r="A206" s="14"/>
      <c r="B206" s="15"/>
      <c r="C206" s="14"/>
      <c r="D206" s="14"/>
      <c r="E206" s="14"/>
      <c r="F206" s="14"/>
      <c r="G206" s="14"/>
      <c r="H206" s="14"/>
      <c r="I206" s="14"/>
      <c r="J206" s="14"/>
      <c r="K206" s="14"/>
      <c r="L206" s="14"/>
      <c r="M206" s="14"/>
      <c r="N206" s="14"/>
      <c r="O206" s="14"/>
      <c r="P206" s="14"/>
      <c r="Q206" s="14"/>
      <c r="R206" s="15"/>
      <c r="S206" s="15"/>
      <c r="T206" s="14"/>
      <c r="U206" s="14"/>
      <c r="V206" s="8" t="str">
        <f aca="false">IF(AND(R206&lt;&gt;"",S206&lt;&gt;""),NETWORKDAYS(R206,S206)-1,"")</f>
        <v/>
      </c>
      <c r="W206" s="14"/>
    </row>
    <row r="207" customFormat="false" ht="15" hidden="false" customHeight="false" outlineLevel="0" collapsed="false">
      <c r="A207" s="14"/>
      <c r="B207" s="15"/>
      <c r="C207" s="14"/>
      <c r="D207" s="14"/>
      <c r="E207" s="14"/>
      <c r="F207" s="14"/>
      <c r="G207" s="14"/>
      <c r="H207" s="14"/>
      <c r="I207" s="14"/>
      <c r="J207" s="14"/>
      <c r="K207" s="14"/>
      <c r="L207" s="14"/>
      <c r="M207" s="14"/>
      <c r="N207" s="14"/>
      <c r="O207" s="14"/>
      <c r="P207" s="14"/>
      <c r="Q207" s="14"/>
      <c r="R207" s="15"/>
      <c r="S207" s="15"/>
      <c r="T207" s="14"/>
      <c r="U207" s="14"/>
      <c r="V207" s="8" t="str">
        <f aca="false">IF(AND(R207&lt;&gt;"",S207&lt;&gt;""),NETWORKDAYS(R207,S207)-1,"")</f>
        <v/>
      </c>
      <c r="W207" s="14"/>
    </row>
    <row r="208" customFormat="false" ht="15" hidden="false" customHeight="false" outlineLevel="0" collapsed="false">
      <c r="A208" s="14"/>
      <c r="B208" s="15"/>
      <c r="C208" s="14"/>
      <c r="D208" s="14"/>
      <c r="E208" s="14"/>
      <c r="F208" s="14"/>
      <c r="G208" s="14"/>
      <c r="H208" s="14"/>
      <c r="I208" s="14"/>
      <c r="J208" s="14"/>
      <c r="K208" s="14"/>
      <c r="L208" s="14"/>
      <c r="M208" s="14"/>
      <c r="N208" s="14"/>
      <c r="O208" s="14"/>
      <c r="P208" s="14"/>
      <c r="Q208" s="14"/>
      <c r="R208" s="15"/>
      <c r="S208" s="15"/>
      <c r="T208" s="14"/>
      <c r="U208" s="14"/>
      <c r="V208" s="8" t="str">
        <f aca="false">IF(AND(R208&lt;&gt;"",S208&lt;&gt;""),NETWORKDAYS(R208,S208)-1,"")</f>
        <v/>
      </c>
      <c r="W208" s="14"/>
    </row>
    <row r="209" customFormat="false" ht="15" hidden="false" customHeight="false" outlineLevel="0" collapsed="false">
      <c r="A209" s="14"/>
      <c r="B209" s="15"/>
      <c r="C209" s="14"/>
      <c r="D209" s="14"/>
      <c r="E209" s="14"/>
      <c r="F209" s="14"/>
      <c r="G209" s="14"/>
      <c r="H209" s="14"/>
      <c r="I209" s="14"/>
      <c r="J209" s="14"/>
      <c r="K209" s="14"/>
      <c r="L209" s="14"/>
      <c r="M209" s="14"/>
      <c r="N209" s="14"/>
      <c r="O209" s="14"/>
      <c r="P209" s="14"/>
      <c r="Q209" s="14"/>
      <c r="R209" s="15"/>
      <c r="S209" s="15"/>
      <c r="T209" s="14"/>
      <c r="U209" s="14"/>
      <c r="V209" s="8" t="str">
        <f aca="false">IF(AND(R209&lt;&gt;"",S209&lt;&gt;""),NETWORKDAYS(R209,S209)-1,"")</f>
        <v/>
      </c>
      <c r="W209" s="14"/>
    </row>
    <row r="210" customFormat="false" ht="15" hidden="false" customHeight="false" outlineLevel="0" collapsed="false">
      <c r="A210" s="14"/>
      <c r="B210" s="15"/>
      <c r="C210" s="14"/>
      <c r="D210" s="14"/>
      <c r="E210" s="14"/>
      <c r="F210" s="14"/>
      <c r="G210" s="14"/>
      <c r="H210" s="14"/>
      <c r="I210" s="14"/>
      <c r="J210" s="14"/>
      <c r="K210" s="14"/>
      <c r="L210" s="14"/>
      <c r="M210" s="14"/>
      <c r="N210" s="14"/>
      <c r="O210" s="14"/>
      <c r="P210" s="14"/>
      <c r="Q210" s="14"/>
      <c r="R210" s="15"/>
      <c r="S210" s="15"/>
      <c r="T210" s="14"/>
      <c r="U210" s="14"/>
      <c r="V210" s="8" t="str">
        <f aca="false">IF(AND(R210&lt;&gt;"",S210&lt;&gt;""),NETWORKDAYS(R210,S210)-1,"")</f>
        <v/>
      </c>
      <c r="W210" s="14"/>
    </row>
    <row r="211" customFormat="false" ht="15" hidden="false" customHeight="false" outlineLevel="0" collapsed="false">
      <c r="A211" s="14"/>
      <c r="B211" s="15"/>
      <c r="C211" s="14"/>
      <c r="D211" s="14"/>
      <c r="E211" s="14"/>
      <c r="F211" s="14"/>
      <c r="G211" s="14"/>
      <c r="H211" s="14"/>
      <c r="I211" s="14"/>
      <c r="J211" s="14"/>
      <c r="K211" s="14"/>
      <c r="L211" s="14"/>
      <c r="M211" s="14"/>
      <c r="N211" s="14"/>
      <c r="O211" s="14"/>
      <c r="P211" s="14"/>
      <c r="Q211" s="14"/>
      <c r="R211" s="15"/>
      <c r="S211" s="15"/>
      <c r="T211" s="14"/>
      <c r="U211" s="14"/>
      <c r="V211" s="8" t="str">
        <f aca="false">IF(AND(R211&lt;&gt;"",S211&lt;&gt;""),NETWORKDAYS(R211,S211)-1,"")</f>
        <v/>
      </c>
      <c r="W211" s="14"/>
    </row>
    <row r="212" customFormat="false" ht="15" hidden="false" customHeight="false" outlineLevel="0" collapsed="false">
      <c r="A212" s="14"/>
      <c r="B212" s="15"/>
      <c r="C212" s="14"/>
      <c r="D212" s="14"/>
      <c r="E212" s="14"/>
      <c r="F212" s="14"/>
      <c r="G212" s="14"/>
      <c r="H212" s="14"/>
      <c r="I212" s="14"/>
      <c r="J212" s="14"/>
      <c r="K212" s="14"/>
      <c r="L212" s="14"/>
      <c r="M212" s="14"/>
      <c r="N212" s="14"/>
      <c r="O212" s="14"/>
      <c r="P212" s="14"/>
      <c r="Q212" s="14"/>
      <c r="R212" s="15"/>
      <c r="S212" s="15"/>
      <c r="T212" s="14"/>
      <c r="U212" s="14"/>
      <c r="V212" s="8" t="str">
        <f aca="false">IF(AND(R212&lt;&gt;"",S212&lt;&gt;""),NETWORKDAYS(R212,S212)-1,"")</f>
        <v/>
      </c>
      <c r="W212" s="14"/>
    </row>
    <row r="213" customFormat="false" ht="15" hidden="false" customHeight="false" outlineLevel="0" collapsed="false">
      <c r="A213" s="14"/>
      <c r="B213" s="15"/>
      <c r="C213" s="14"/>
      <c r="D213" s="14"/>
      <c r="E213" s="14"/>
      <c r="F213" s="14"/>
      <c r="G213" s="14"/>
      <c r="H213" s="14"/>
      <c r="I213" s="14"/>
      <c r="J213" s="14"/>
      <c r="K213" s="14"/>
      <c r="L213" s="14"/>
      <c r="M213" s="14"/>
      <c r="N213" s="14"/>
      <c r="O213" s="14"/>
      <c r="P213" s="14"/>
      <c r="Q213" s="14"/>
      <c r="R213" s="15"/>
      <c r="S213" s="15"/>
      <c r="T213" s="14"/>
      <c r="U213" s="14"/>
      <c r="V213" s="8" t="str">
        <f aca="false">IF(AND(R213&lt;&gt;"",S213&lt;&gt;""),NETWORKDAYS(R213,S213)-1,"")</f>
        <v/>
      </c>
      <c r="W213" s="14"/>
    </row>
    <row r="214" customFormat="false" ht="15" hidden="false" customHeight="false" outlineLevel="0" collapsed="false">
      <c r="A214" s="14"/>
      <c r="B214" s="15"/>
      <c r="C214" s="14"/>
      <c r="D214" s="14"/>
      <c r="E214" s="14"/>
      <c r="F214" s="14"/>
      <c r="G214" s="14"/>
      <c r="H214" s="14"/>
      <c r="I214" s="14"/>
      <c r="J214" s="14"/>
      <c r="K214" s="14"/>
      <c r="L214" s="14"/>
      <c r="M214" s="14"/>
      <c r="N214" s="14"/>
      <c r="O214" s="14"/>
      <c r="P214" s="14"/>
      <c r="Q214" s="14"/>
      <c r="R214" s="15"/>
      <c r="S214" s="15"/>
      <c r="T214" s="14"/>
      <c r="U214" s="14"/>
      <c r="V214" s="8" t="str">
        <f aca="false">IF(AND(R214&lt;&gt;"",S214&lt;&gt;""),NETWORKDAYS(R214,S214)-1,"")</f>
        <v/>
      </c>
      <c r="W214" s="14"/>
    </row>
    <row r="215" customFormat="false" ht="15" hidden="false" customHeight="false" outlineLevel="0" collapsed="false">
      <c r="A215" s="14"/>
      <c r="B215" s="15"/>
      <c r="C215" s="14"/>
      <c r="D215" s="14"/>
      <c r="E215" s="14"/>
      <c r="F215" s="14"/>
      <c r="G215" s="14"/>
      <c r="H215" s="14"/>
      <c r="I215" s="14"/>
      <c r="J215" s="14"/>
      <c r="K215" s="14"/>
      <c r="L215" s="14"/>
      <c r="M215" s="14"/>
      <c r="N215" s="14"/>
      <c r="O215" s="14"/>
      <c r="P215" s="14"/>
      <c r="Q215" s="14"/>
      <c r="R215" s="15"/>
      <c r="S215" s="15"/>
      <c r="T215" s="14"/>
      <c r="U215" s="14"/>
      <c r="V215" s="8" t="str">
        <f aca="false">IF(AND(R215&lt;&gt;"",S215&lt;&gt;""),NETWORKDAYS(R215,S215)-1,"")</f>
        <v/>
      </c>
      <c r="W215" s="14"/>
    </row>
    <row r="216" customFormat="false" ht="15" hidden="false" customHeight="false" outlineLevel="0" collapsed="false">
      <c r="A216" s="14"/>
      <c r="B216" s="15"/>
      <c r="C216" s="14"/>
      <c r="D216" s="14"/>
      <c r="E216" s="14"/>
      <c r="F216" s="14"/>
      <c r="G216" s="14"/>
      <c r="H216" s="14"/>
      <c r="I216" s="14"/>
      <c r="J216" s="14"/>
      <c r="K216" s="14"/>
      <c r="L216" s="14"/>
      <c r="M216" s="14"/>
      <c r="N216" s="14"/>
      <c r="O216" s="14"/>
      <c r="P216" s="14"/>
      <c r="Q216" s="14"/>
      <c r="R216" s="15"/>
      <c r="S216" s="15"/>
      <c r="T216" s="14"/>
      <c r="U216" s="14"/>
      <c r="V216" s="8" t="str">
        <f aca="false">IF(AND(R216&lt;&gt;"",S216&lt;&gt;""),NETWORKDAYS(R216,S216)-1,"")</f>
        <v/>
      </c>
      <c r="W216" s="14"/>
    </row>
    <row r="217" customFormat="false" ht="15" hidden="false" customHeight="false" outlineLevel="0" collapsed="false">
      <c r="A217" s="14"/>
      <c r="B217" s="15"/>
      <c r="C217" s="14"/>
      <c r="D217" s="14"/>
      <c r="E217" s="14"/>
      <c r="F217" s="14"/>
      <c r="G217" s="14"/>
      <c r="H217" s="14"/>
      <c r="I217" s="14"/>
      <c r="J217" s="14"/>
      <c r="K217" s="14"/>
      <c r="L217" s="14"/>
      <c r="M217" s="14"/>
      <c r="N217" s="14"/>
      <c r="O217" s="14"/>
      <c r="P217" s="14"/>
      <c r="Q217" s="14"/>
      <c r="R217" s="15"/>
      <c r="S217" s="15"/>
      <c r="T217" s="14"/>
      <c r="U217" s="14"/>
      <c r="V217" s="8" t="str">
        <f aca="false">IF(AND(R217&lt;&gt;"",S217&lt;&gt;""),NETWORKDAYS(R217,S217)-1,"")</f>
        <v/>
      </c>
      <c r="W217" s="14"/>
    </row>
    <row r="218" customFormat="false" ht="15" hidden="false" customHeight="false" outlineLevel="0" collapsed="false">
      <c r="A218" s="14"/>
      <c r="B218" s="15"/>
      <c r="C218" s="14"/>
      <c r="D218" s="14"/>
      <c r="E218" s="14"/>
      <c r="F218" s="14"/>
      <c r="G218" s="14"/>
      <c r="H218" s="14"/>
      <c r="I218" s="14"/>
      <c r="J218" s="14"/>
      <c r="K218" s="14"/>
      <c r="L218" s="14"/>
      <c r="M218" s="14"/>
      <c r="N218" s="14"/>
      <c r="O218" s="14"/>
      <c r="P218" s="14"/>
      <c r="Q218" s="14"/>
      <c r="R218" s="15"/>
      <c r="S218" s="15"/>
      <c r="T218" s="14"/>
      <c r="U218" s="14"/>
      <c r="V218" s="8" t="str">
        <f aca="false">IF(AND(R218&lt;&gt;"",S218&lt;&gt;""),NETWORKDAYS(R218,S218)-1,"")</f>
        <v/>
      </c>
      <c r="W218" s="14"/>
    </row>
    <row r="219" customFormat="false" ht="15" hidden="false" customHeight="false" outlineLevel="0" collapsed="false">
      <c r="A219" s="14"/>
      <c r="B219" s="15"/>
      <c r="C219" s="14"/>
      <c r="D219" s="14"/>
      <c r="E219" s="14"/>
      <c r="F219" s="14"/>
      <c r="G219" s="14"/>
      <c r="H219" s="14"/>
      <c r="I219" s="14"/>
      <c r="J219" s="14"/>
      <c r="K219" s="14"/>
      <c r="L219" s="14"/>
      <c r="M219" s="14"/>
      <c r="N219" s="14"/>
      <c r="O219" s="14"/>
      <c r="P219" s="14"/>
      <c r="Q219" s="14"/>
      <c r="R219" s="15"/>
      <c r="S219" s="15"/>
      <c r="T219" s="14"/>
      <c r="U219" s="14"/>
      <c r="V219" s="8" t="str">
        <f aca="false">IF(AND(R219&lt;&gt;"",S219&lt;&gt;""),NETWORKDAYS(R219,S219)-1,"")</f>
        <v/>
      </c>
      <c r="W219" s="14"/>
    </row>
    <row r="220" customFormat="false" ht="15" hidden="false" customHeight="false" outlineLevel="0" collapsed="false">
      <c r="A220" s="14"/>
      <c r="B220" s="15"/>
      <c r="C220" s="14"/>
      <c r="D220" s="14"/>
      <c r="E220" s="14"/>
      <c r="F220" s="14"/>
      <c r="G220" s="14"/>
      <c r="H220" s="14"/>
      <c r="I220" s="14"/>
      <c r="J220" s="14"/>
      <c r="K220" s="14"/>
      <c r="L220" s="14"/>
      <c r="M220" s="14"/>
      <c r="N220" s="14"/>
      <c r="O220" s="14"/>
      <c r="P220" s="14"/>
      <c r="Q220" s="14"/>
      <c r="R220" s="15"/>
      <c r="S220" s="15"/>
      <c r="T220" s="14"/>
      <c r="U220" s="14"/>
      <c r="V220" s="8" t="str">
        <f aca="false">IF(AND(R220&lt;&gt;"",S220&lt;&gt;""),NETWORKDAYS(R220,S220)-1,"")</f>
        <v/>
      </c>
      <c r="W220" s="14"/>
    </row>
    <row r="221" customFormat="false" ht="15" hidden="false" customHeight="false" outlineLevel="0" collapsed="false">
      <c r="A221" s="14"/>
      <c r="B221" s="15"/>
      <c r="C221" s="14"/>
      <c r="D221" s="14"/>
      <c r="E221" s="14"/>
      <c r="F221" s="14"/>
      <c r="G221" s="14"/>
      <c r="H221" s="14"/>
      <c r="I221" s="14"/>
      <c r="J221" s="14"/>
      <c r="K221" s="14"/>
      <c r="L221" s="14"/>
      <c r="M221" s="14"/>
      <c r="N221" s="14"/>
      <c r="O221" s="14"/>
      <c r="P221" s="14"/>
      <c r="Q221" s="14"/>
      <c r="R221" s="15"/>
      <c r="S221" s="15"/>
      <c r="T221" s="14"/>
      <c r="U221" s="14"/>
      <c r="V221" s="8" t="str">
        <f aca="false">IF(AND(R221&lt;&gt;"",S221&lt;&gt;""),NETWORKDAYS(R221,S221)-1,"")</f>
        <v/>
      </c>
      <c r="W221" s="14"/>
    </row>
    <row r="222" customFormat="false" ht="15" hidden="false" customHeight="false" outlineLevel="0" collapsed="false">
      <c r="A222" s="14"/>
      <c r="B222" s="15"/>
      <c r="C222" s="14"/>
      <c r="D222" s="14"/>
      <c r="E222" s="14"/>
      <c r="F222" s="14"/>
      <c r="G222" s="14"/>
      <c r="H222" s="14"/>
      <c r="I222" s="14"/>
      <c r="J222" s="14"/>
      <c r="K222" s="14"/>
      <c r="L222" s="14"/>
      <c r="M222" s="14"/>
      <c r="N222" s="14"/>
      <c r="O222" s="14"/>
      <c r="P222" s="14"/>
      <c r="Q222" s="14"/>
      <c r="R222" s="15"/>
      <c r="S222" s="15"/>
      <c r="T222" s="14"/>
      <c r="U222" s="14"/>
      <c r="V222" s="8" t="str">
        <f aca="false">IF(AND(R222&lt;&gt;"",S222&lt;&gt;""),NETWORKDAYS(R222,S222)-1,"")</f>
        <v/>
      </c>
      <c r="W222" s="14"/>
    </row>
    <row r="223" customFormat="false" ht="15" hidden="false" customHeight="false" outlineLevel="0" collapsed="false">
      <c r="A223" s="14"/>
      <c r="B223" s="15"/>
      <c r="C223" s="14"/>
      <c r="D223" s="14"/>
      <c r="E223" s="14"/>
      <c r="F223" s="14"/>
      <c r="G223" s="14"/>
      <c r="H223" s="14"/>
      <c r="I223" s="14"/>
      <c r="J223" s="14"/>
      <c r="K223" s="14"/>
      <c r="L223" s="14"/>
      <c r="M223" s="14"/>
      <c r="N223" s="14"/>
      <c r="O223" s="14"/>
      <c r="P223" s="14"/>
      <c r="Q223" s="14"/>
      <c r="R223" s="15"/>
      <c r="S223" s="15"/>
      <c r="T223" s="14"/>
      <c r="U223" s="14"/>
      <c r="V223" s="8" t="str">
        <f aca="false">IF(AND(R223&lt;&gt;"",S223&lt;&gt;""),NETWORKDAYS(R223,S223)-1,"")</f>
        <v/>
      </c>
      <c r="W223" s="14"/>
    </row>
    <row r="224" customFormat="false" ht="15" hidden="false" customHeight="false" outlineLevel="0" collapsed="false">
      <c r="A224" s="14"/>
      <c r="B224" s="15"/>
      <c r="C224" s="14"/>
      <c r="D224" s="14"/>
      <c r="E224" s="14"/>
      <c r="F224" s="14"/>
      <c r="G224" s="14"/>
      <c r="H224" s="14"/>
      <c r="I224" s="14"/>
      <c r="J224" s="14"/>
      <c r="K224" s="14"/>
      <c r="L224" s="14"/>
      <c r="M224" s="14"/>
      <c r="N224" s="14"/>
      <c r="O224" s="14"/>
      <c r="P224" s="14"/>
      <c r="Q224" s="14"/>
      <c r="R224" s="15"/>
      <c r="S224" s="15"/>
      <c r="T224" s="14"/>
      <c r="U224" s="14"/>
      <c r="V224" s="8" t="str">
        <f aca="false">IF(AND(R224&lt;&gt;"",S224&lt;&gt;""),NETWORKDAYS(R224,S224)-1,"")</f>
        <v/>
      </c>
      <c r="W224" s="14"/>
    </row>
    <row r="225" customFormat="false" ht="15" hidden="false" customHeight="false" outlineLevel="0" collapsed="false">
      <c r="A225" s="14"/>
      <c r="B225" s="15"/>
      <c r="C225" s="14"/>
      <c r="D225" s="14"/>
      <c r="E225" s="14"/>
      <c r="F225" s="14"/>
      <c r="G225" s="14"/>
      <c r="H225" s="14"/>
      <c r="I225" s="14"/>
      <c r="J225" s="14"/>
      <c r="K225" s="14"/>
      <c r="L225" s="14"/>
      <c r="M225" s="14"/>
      <c r="N225" s="14"/>
      <c r="O225" s="14"/>
      <c r="P225" s="14"/>
      <c r="Q225" s="14"/>
      <c r="R225" s="15"/>
      <c r="S225" s="15"/>
      <c r="T225" s="14"/>
      <c r="U225" s="14"/>
      <c r="V225" s="8" t="str">
        <f aca="false">IF(AND(R225&lt;&gt;"",S225&lt;&gt;""),NETWORKDAYS(R225,S225)-1,"")</f>
        <v/>
      </c>
      <c r="W225" s="14"/>
    </row>
    <row r="226" customFormat="false" ht="15" hidden="false" customHeight="false" outlineLevel="0" collapsed="false">
      <c r="A226" s="14"/>
      <c r="B226" s="15"/>
      <c r="C226" s="14"/>
      <c r="D226" s="14"/>
      <c r="E226" s="14"/>
      <c r="F226" s="14"/>
      <c r="G226" s="14"/>
      <c r="H226" s="14"/>
      <c r="I226" s="14"/>
      <c r="J226" s="14"/>
      <c r="K226" s="14"/>
      <c r="L226" s="14"/>
      <c r="M226" s="14"/>
      <c r="N226" s="14"/>
      <c r="O226" s="14"/>
      <c r="P226" s="14"/>
      <c r="Q226" s="14"/>
      <c r="R226" s="15"/>
      <c r="S226" s="15"/>
      <c r="T226" s="14"/>
      <c r="U226" s="14"/>
      <c r="V226" s="8" t="str">
        <f aca="false">IF(AND(R226&lt;&gt;"",S226&lt;&gt;""),NETWORKDAYS(R226,S226)-1,"")</f>
        <v/>
      </c>
      <c r="W226" s="14"/>
    </row>
    <row r="227" customFormat="false" ht="15" hidden="false" customHeight="false" outlineLevel="0" collapsed="false">
      <c r="A227" s="14"/>
      <c r="B227" s="15"/>
      <c r="C227" s="14"/>
      <c r="D227" s="14"/>
      <c r="E227" s="14"/>
      <c r="F227" s="14"/>
      <c r="G227" s="14"/>
      <c r="H227" s="14"/>
      <c r="I227" s="14"/>
      <c r="J227" s="14"/>
      <c r="K227" s="14"/>
      <c r="L227" s="14"/>
      <c r="M227" s="14"/>
      <c r="N227" s="14"/>
      <c r="O227" s="14"/>
      <c r="P227" s="14"/>
      <c r="Q227" s="14"/>
      <c r="R227" s="15"/>
      <c r="S227" s="15"/>
      <c r="T227" s="14"/>
      <c r="U227" s="14"/>
      <c r="V227" s="8" t="str">
        <f aca="false">IF(AND(R227&lt;&gt;"",S227&lt;&gt;""),NETWORKDAYS(R227,S227)-1,"")</f>
        <v/>
      </c>
      <c r="W227" s="14"/>
    </row>
    <row r="228" customFormat="false" ht="15" hidden="false" customHeight="false" outlineLevel="0" collapsed="false">
      <c r="A228" s="14"/>
      <c r="B228" s="15"/>
      <c r="C228" s="14"/>
      <c r="D228" s="14"/>
      <c r="E228" s="14"/>
      <c r="F228" s="14"/>
      <c r="G228" s="14"/>
      <c r="H228" s="14"/>
      <c r="I228" s="14"/>
      <c r="J228" s="14"/>
      <c r="K228" s="14"/>
      <c r="L228" s="14"/>
      <c r="M228" s="14"/>
      <c r="N228" s="14"/>
      <c r="O228" s="14"/>
      <c r="P228" s="14"/>
      <c r="Q228" s="14"/>
      <c r="R228" s="15"/>
      <c r="S228" s="15"/>
      <c r="T228" s="14"/>
      <c r="U228" s="14"/>
      <c r="V228" s="8" t="str">
        <f aca="false">IF(AND(R228&lt;&gt;"",S228&lt;&gt;""),NETWORKDAYS(R228,S228)-1,"")</f>
        <v/>
      </c>
      <c r="W228" s="14"/>
    </row>
    <row r="229" customFormat="false" ht="15" hidden="false" customHeight="false" outlineLevel="0" collapsed="false">
      <c r="A229" s="14"/>
      <c r="B229" s="15"/>
      <c r="C229" s="14"/>
      <c r="D229" s="14"/>
      <c r="E229" s="14"/>
      <c r="F229" s="14"/>
      <c r="G229" s="14"/>
      <c r="H229" s="14"/>
      <c r="I229" s="14"/>
      <c r="J229" s="14"/>
      <c r="K229" s="14"/>
      <c r="L229" s="14"/>
      <c r="M229" s="14"/>
      <c r="N229" s="14"/>
      <c r="O229" s="14"/>
      <c r="P229" s="14"/>
      <c r="Q229" s="14"/>
      <c r="R229" s="15"/>
      <c r="S229" s="15"/>
      <c r="T229" s="14"/>
      <c r="U229" s="14"/>
      <c r="V229" s="8" t="str">
        <f aca="false">IF(AND(R229&lt;&gt;"",S229&lt;&gt;""),NETWORKDAYS(R229,S229)-1,"")</f>
        <v/>
      </c>
      <c r="W229" s="14"/>
    </row>
    <row r="230" customFormat="false" ht="15" hidden="false" customHeight="false" outlineLevel="0" collapsed="false">
      <c r="A230" s="14"/>
      <c r="B230" s="15"/>
      <c r="C230" s="14"/>
      <c r="D230" s="14"/>
      <c r="E230" s="14"/>
      <c r="F230" s="14"/>
      <c r="G230" s="14"/>
      <c r="H230" s="14"/>
      <c r="I230" s="14"/>
      <c r="J230" s="14"/>
      <c r="K230" s="14"/>
      <c r="L230" s="14"/>
      <c r="M230" s="14"/>
      <c r="N230" s="14"/>
      <c r="O230" s="14"/>
      <c r="P230" s="14"/>
      <c r="Q230" s="14"/>
      <c r="R230" s="15"/>
      <c r="S230" s="15"/>
      <c r="T230" s="14"/>
      <c r="U230" s="14"/>
      <c r="V230" s="8" t="str">
        <f aca="false">IF(AND(R230&lt;&gt;"",S230&lt;&gt;""),NETWORKDAYS(R230,S230)-1,"")</f>
        <v/>
      </c>
      <c r="W230" s="14"/>
    </row>
    <row r="231" customFormat="false" ht="15" hidden="false" customHeight="false" outlineLevel="0" collapsed="false">
      <c r="A231" s="14"/>
      <c r="B231" s="15"/>
      <c r="C231" s="14"/>
      <c r="D231" s="14"/>
      <c r="E231" s="14"/>
      <c r="F231" s="14"/>
      <c r="G231" s="14"/>
      <c r="H231" s="14"/>
      <c r="I231" s="14"/>
      <c r="J231" s="14"/>
      <c r="K231" s="14"/>
      <c r="L231" s="14"/>
      <c r="M231" s="14"/>
      <c r="N231" s="14"/>
      <c r="O231" s="14"/>
      <c r="P231" s="14"/>
      <c r="Q231" s="14"/>
      <c r="R231" s="15"/>
      <c r="S231" s="15"/>
      <c r="T231" s="14"/>
      <c r="U231" s="14"/>
      <c r="V231" s="8" t="str">
        <f aca="false">IF(AND(R231&lt;&gt;"",S231&lt;&gt;""),NETWORKDAYS(R231,S231)-1,"")</f>
        <v/>
      </c>
      <c r="W231" s="14"/>
    </row>
    <row r="232" customFormat="false" ht="15" hidden="false" customHeight="false" outlineLevel="0" collapsed="false">
      <c r="A232" s="14"/>
      <c r="B232" s="15"/>
      <c r="C232" s="14"/>
      <c r="D232" s="14"/>
      <c r="E232" s="14"/>
      <c r="F232" s="14"/>
      <c r="G232" s="14"/>
      <c r="H232" s="14"/>
      <c r="I232" s="14"/>
      <c r="J232" s="14"/>
      <c r="K232" s="14"/>
      <c r="L232" s="14"/>
      <c r="M232" s="14"/>
      <c r="N232" s="14"/>
      <c r="O232" s="14"/>
      <c r="P232" s="14"/>
      <c r="Q232" s="14"/>
      <c r="R232" s="15"/>
      <c r="S232" s="15"/>
      <c r="T232" s="14"/>
      <c r="U232" s="14"/>
      <c r="V232" s="8" t="str">
        <f aca="false">IF(AND(R232&lt;&gt;"",S232&lt;&gt;""),NETWORKDAYS(R232,S232)-1,"")</f>
        <v/>
      </c>
      <c r="W232" s="14"/>
    </row>
    <row r="233" customFormat="false" ht="15" hidden="false" customHeight="false" outlineLevel="0" collapsed="false">
      <c r="A233" s="14"/>
      <c r="B233" s="15"/>
      <c r="C233" s="14"/>
      <c r="D233" s="14"/>
      <c r="E233" s="14"/>
      <c r="F233" s="14"/>
      <c r="G233" s="14"/>
      <c r="H233" s="14"/>
      <c r="I233" s="14"/>
      <c r="J233" s="14"/>
      <c r="K233" s="14"/>
      <c r="L233" s="14"/>
      <c r="M233" s="14"/>
      <c r="N233" s="14"/>
      <c r="O233" s="14"/>
      <c r="P233" s="14"/>
      <c r="Q233" s="14"/>
      <c r="R233" s="15"/>
      <c r="S233" s="15"/>
      <c r="T233" s="14"/>
      <c r="U233" s="14"/>
      <c r="V233" s="8" t="str">
        <f aca="false">IF(AND(R233&lt;&gt;"",S233&lt;&gt;""),NETWORKDAYS(R233,S233)-1,"")</f>
        <v/>
      </c>
      <c r="W233" s="14"/>
    </row>
    <row r="234" customFormat="false" ht="15" hidden="false" customHeight="false" outlineLevel="0" collapsed="false">
      <c r="A234" s="14"/>
      <c r="B234" s="15"/>
      <c r="C234" s="14"/>
      <c r="D234" s="14"/>
      <c r="E234" s="14"/>
      <c r="F234" s="14"/>
      <c r="G234" s="14"/>
      <c r="H234" s="14"/>
      <c r="I234" s="14"/>
      <c r="J234" s="14"/>
      <c r="K234" s="14"/>
      <c r="L234" s="14"/>
      <c r="M234" s="14"/>
      <c r="N234" s="14"/>
      <c r="O234" s="14"/>
      <c r="P234" s="14"/>
      <c r="Q234" s="14"/>
      <c r="R234" s="15"/>
      <c r="S234" s="15"/>
      <c r="T234" s="14"/>
      <c r="U234" s="14"/>
      <c r="V234" s="8" t="str">
        <f aca="false">IF(AND(R234&lt;&gt;"",S234&lt;&gt;""),NETWORKDAYS(R234,S234)-1,"")</f>
        <v/>
      </c>
      <c r="W234" s="14"/>
    </row>
    <row r="235" customFormat="false" ht="15" hidden="false" customHeight="false" outlineLevel="0" collapsed="false">
      <c r="A235" s="14"/>
      <c r="B235" s="15"/>
      <c r="C235" s="14"/>
      <c r="D235" s="14"/>
      <c r="E235" s="14"/>
      <c r="F235" s="14"/>
      <c r="G235" s="14"/>
      <c r="H235" s="14"/>
      <c r="I235" s="14"/>
      <c r="J235" s="14"/>
      <c r="K235" s="14"/>
      <c r="L235" s="14"/>
      <c r="M235" s="14"/>
      <c r="N235" s="14"/>
      <c r="O235" s="14"/>
      <c r="P235" s="14"/>
      <c r="Q235" s="14"/>
      <c r="R235" s="15"/>
      <c r="S235" s="15"/>
      <c r="T235" s="14"/>
      <c r="U235" s="14"/>
      <c r="V235" s="8" t="str">
        <f aca="false">IF(AND(R235&lt;&gt;"",S235&lt;&gt;""),NETWORKDAYS(R235,S235)-1,"")</f>
        <v/>
      </c>
      <c r="W235" s="14"/>
    </row>
    <row r="236" customFormat="false" ht="15" hidden="false" customHeight="false" outlineLevel="0" collapsed="false">
      <c r="A236" s="14"/>
      <c r="B236" s="15"/>
      <c r="C236" s="14"/>
      <c r="D236" s="14"/>
      <c r="E236" s="14"/>
      <c r="F236" s="14"/>
      <c r="G236" s="14"/>
      <c r="H236" s="14"/>
      <c r="I236" s="14"/>
      <c r="J236" s="14"/>
      <c r="K236" s="14"/>
      <c r="L236" s="14"/>
      <c r="M236" s="14"/>
      <c r="N236" s="14"/>
      <c r="O236" s="14"/>
      <c r="P236" s="14"/>
      <c r="Q236" s="14"/>
      <c r="R236" s="15"/>
      <c r="S236" s="15"/>
      <c r="T236" s="14"/>
      <c r="U236" s="14"/>
      <c r="V236" s="8" t="str">
        <f aca="false">IF(AND(R236&lt;&gt;"",S236&lt;&gt;""),NETWORKDAYS(R236,S236)-1,"")</f>
        <v/>
      </c>
      <c r="W236" s="14"/>
    </row>
    <row r="237" customFormat="false" ht="15" hidden="false" customHeight="false" outlineLevel="0" collapsed="false">
      <c r="A237" s="14"/>
      <c r="B237" s="15"/>
      <c r="C237" s="14"/>
      <c r="D237" s="14"/>
      <c r="E237" s="14"/>
      <c r="F237" s="14"/>
      <c r="G237" s="14"/>
      <c r="H237" s="14"/>
      <c r="I237" s="14"/>
      <c r="J237" s="14"/>
      <c r="K237" s="14"/>
      <c r="L237" s="14"/>
      <c r="M237" s="14"/>
      <c r="N237" s="14"/>
      <c r="O237" s="14"/>
      <c r="P237" s="14"/>
      <c r="Q237" s="14"/>
      <c r="R237" s="15"/>
      <c r="S237" s="15"/>
      <c r="T237" s="14"/>
      <c r="U237" s="14"/>
      <c r="V237" s="8" t="str">
        <f aca="false">IF(AND(R237&lt;&gt;"",S237&lt;&gt;""),NETWORKDAYS(R237,S237)-1,"")</f>
        <v/>
      </c>
      <c r="W237" s="14"/>
    </row>
    <row r="238" customFormat="false" ht="15" hidden="false" customHeight="false" outlineLevel="0" collapsed="false">
      <c r="A238" s="14"/>
      <c r="B238" s="15"/>
      <c r="C238" s="14"/>
      <c r="D238" s="14"/>
      <c r="E238" s="14"/>
      <c r="F238" s="14"/>
      <c r="G238" s="14"/>
      <c r="H238" s="14"/>
      <c r="I238" s="14"/>
      <c r="J238" s="14"/>
      <c r="K238" s="14"/>
      <c r="L238" s="14"/>
      <c r="M238" s="14"/>
      <c r="N238" s="14"/>
      <c r="O238" s="14"/>
      <c r="P238" s="14"/>
      <c r="Q238" s="14"/>
      <c r="R238" s="15"/>
      <c r="S238" s="15"/>
      <c r="T238" s="14"/>
      <c r="U238" s="14"/>
      <c r="V238" s="8" t="str">
        <f aca="false">IF(AND(R238&lt;&gt;"",S238&lt;&gt;""),NETWORKDAYS(R238,S238)-1,"")</f>
        <v/>
      </c>
      <c r="W238" s="14"/>
    </row>
    <row r="239" customFormat="false" ht="15" hidden="false" customHeight="false" outlineLevel="0" collapsed="false">
      <c r="A239" s="14"/>
      <c r="B239" s="15"/>
      <c r="C239" s="14"/>
      <c r="D239" s="14"/>
      <c r="E239" s="14"/>
      <c r="F239" s="14"/>
      <c r="G239" s="14"/>
      <c r="H239" s="14"/>
      <c r="I239" s="14"/>
      <c r="J239" s="14"/>
      <c r="K239" s="14"/>
      <c r="L239" s="14"/>
      <c r="M239" s="14"/>
      <c r="N239" s="14"/>
      <c r="O239" s="14"/>
      <c r="P239" s="14"/>
      <c r="Q239" s="14"/>
      <c r="R239" s="15"/>
      <c r="S239" s="15"/>
      <c r="T239" s="14"/>
      <c r="U239" s="14"/>
      <c r="V239" s="8" t="str">
        <f aca="false">IF(AND(R239&lt;&gt;"",S239&lt;&gt;""),NETWORKDAYS(R239,S239)-1,"")</f>
        <v/>
      </c>
      <c r="W239" s="14"/>
    </row>
    <row r="240" customFormat="false" ht="15" hidden="false" customHeight="false" outlineLevel="0" collapsed="false">
      <c r="A240" s="14"/>
      <c r="B240" s="15"/>
      <c r="C240" s="14"/>
      <c r="D240" s="14"/>
      <c r="E240" s="14"/>
      <c r="F240" s="14"/>
      <c r="G240" s="14"/>
      <c r="H240" s="14"/>
      <c r="I240" s="14"/>
      <c r="J240" s="14"/>
      <c r="K240" s="14"/>
      <c r="L240" s="14"/>
      <c r="M240" s="14"/>
      <c r="N240" s="14"/>
      <c r="O240" s="14"/>
      <c r="P240" s="14"/>
      <c r="Q240" s="14"/>
      <c r="R240" s="15"/>
      <c r="S240" s="15"/>
      <c r="T240" s="14"/>
      <c r="U240" s="14"/>
      <c r="V240" s="8" t="str">
        <f aca="false">IF(AND(R240&lt;&gt;"",S240&lt;&gt;""),NETWORKDAYS(R240,S240)-1,"")</f>
        <v/>
      </c>
      <c r="W240" s="14"/>
    </row>
    <row r="241" customFormat="false" ht="15" hidden="false" customHeight="false" outlineLevel="0" collapsed="false">
      <c r="A241" s="14"/>
      <c r="B241" s="15"/>
      <c r="C241" s="14"/>
      <c r="D241" s="14"/>
      <c r="E241" s="14"/>
      <c r="F241" s="14"/>
      <c r="G241" s="14"/>
      <c r="H241" s="14"/>
      <c r="I241" s="14"/>
      <c r="J241" s="14"/>
      <c r="K241" s="14"/>
      <c r="L241" s="14"/>
      <c r="M241" s="14"/>
      <c r="N241" s="14"/>
      <c r="O241" s="14"/>
      <c r="P241" s="14"/>
      <c r="Q241" s="14"/>
      <c r="R241" s="15"/>
      <c r="S241" s="15"/>
      <c r="T241" s="14"/>
      <c r="U241" s="14"/>
      <c r="V241" s="8" t="str">
        <f aca="false">IF(AND(R241&lt;&gt;"",S241&lt;&gt;""),NETWORKDAYS(R241,S241)-1,"")</f>
        <v/>
      </c>
      <c r="W241" s="14"/>
    </row>
    <row r="242" customFormat="false" ht="15" hidden="false" customHeight="false" outlineLevel="0" collapsed="false">
      <c r="A242" s="14"/>
      <c r="B242" s="15"/>
      <c r="C242" s="14"/>
      <c r="D242" s="14"/>
      <c r="E242" s="14"/>
      <c r="F242" s="14"/>
      <c r="G242" s="14"/>
      <c r="H242" s="14"/>
      <c r="I242" s="14"/>
      <c r="J242" s="14"/>
      <c r="K242" s="14"/>
      <c r="L242" s="14"/>
      <c r="M242" s="14"/>
      <c r="N242" s="14"/>
      <c r="O242" s="14"/>
      <c r="P242" s="14"/>
      <c r="Q242" s="14"/>
      <c r="R242" s="15"/>
      <c r="S242" s="15"/>
      <c r="T242" s="14"/>
      <c r="U242" s="14"/>
      <c r="V242" s="8" t="str">
        <f aca="false">IF(AND(R242&lt;&gt;"",S242&lt;&gt;""),NETWORKDAYS(R242,S242)-1,"")</f>
        <v/>
      </c>
      <c r="W242" s="14"/>
    </row>
    <row r="243" customFormat="false" ht="15" hidden="false" customHeight="false" outlineLevel="0" collapsed="false">
      <c r="A243" s="14"/>
      <c r="B243" s="15"/>
      <c r="C243" s="14"/>
      <c r="D243" s="14"/>
      <c r="E243" s="14"/>
      <c r="F243" s="14"/>
      <c r="G243" s="14"/>
      <c r="H243" s="14"/>
      <c r="I243" s="14"/>
      <c r="J243" s="14"/>
      <c r="K243" s="14"/>
      <c r="L243" s="14"/>
      <c r="M243" s="14"/>
      <c r="N243" s="14"/>
      <c r="O243" s="14"/>
      <c r="P243" s="14"/>
      <c r="Q243" s="14"/>
      <c r="R243" s="15"/>
      <c r="S243" s="15"/>
      <c r="T243" s="14"/>
      <c r="U243" s="14"/>
      <c r="V243" s="8" t="str">
        <f aca="false">IF(AND(R243&lt;&gt;"",S243&lt;&gt;""),NETWORKDAYS(R243,S243)-1,"")</f>
        <v/>
      </c>
      <c r="W243" s="14"/>
    </row>
    <row r="244" customFormat="false" ht="15" hidden="false" customHeight="false" outlineLevel="0" collapsed="false">
      <c r="A244" s="14"/>
      <c r="B244" s="15"/>
      <c r="C244" s="14"/>
      <c r="D244" s="14"/>
      <c r="E244" s="14"/>
      <c r="F244" s="14"/>
      <c r="G244" s="14"/>
      <c r="H244" s="14"/>
      <c r="I244" s="14"/>
      <c r="J244" s="14"/>
      <c r="K244" s="14"/>
      <c r="L244" s="14"/>
      <c r="M244" s="14"/>
      <c r="N244" s="14"/>
      <c r="O244" s="14"/>
      <c r="P244" s="14"/>
      <c r="Q244" s="14"/>
      <c r="R244" s="15"/>
      <c r="S244" s="15"/>
      <c r="T244" s="14"/>
      <c r="U244" s="14"/>
      <c r="V244" s="8" t="str">
        <f aca="false">IF(AND(R244&lt;&gt;"",S244&lt;&gt;""),NETWORKDAYS(R244,S244)-1,"")</f>
        <v/>
      </c>
      <c r="W244" s="14"/>
    </row>
    <row r="245" customFormat="false" ht="15" hidden="false" customHeight="false" outlineLevel="0" collapsed="false">
      <c r="A245" s="14"/>
      <c r="B245" s="15"/>
      <c r="C245" s="14"/>
      <c r="D245" s="14"/>
      <c r="E245" s="14"/>
      <c r="F245" s="14"/>
      <c r="G245" s="14"/>
      <c r="H245" s="14"/>
      <c r="I245" s="14"/>
      <c r="J245" s="14"/>
      <c r="K245" s="14"/>
      <c r="L245" s="14"/>
      <c r="M245" s="14"/>
      <c r="N245" s="14"/>
      <c r="O245" s="14"/>
      <c r="P245" s="14"/>
      <c r="Q245" s="14"/>
      <c r="R245" s="15"/>
      <c r="S245" s="15"/>
      <c r="T245" s="14"/>
      <c r="U245" s="14"/>
      <c r="V245" s="8" t="str">
        <f aca="false">IF(AND(R245&lt;&gt;"",S245&lt;&gt;""),NETWORKDAYS(R245,S245)-1,"")</f>
        <v/>
      </c>
      <c r="W245" s="14"/>
    </row>
    <row r="246" customFormat="false" ht="15" hidden="false" customHeight="false" outlineLevel="0" collapsed="false">
      <c r="A246" s="14"/>
      <c r="B246" s="15"/>
      <c r="C246" s="14"/>
      <c r="D246" s="14"/>
      <c r="E246" s="14"/>
      <c r="F246" s="14"/>
      <c r="G246" s="14"/>
      <c r="H246" s="14"/>
      <c r="I246" s="14"/>
      <c r="J246" s="14"/>
      <c r="K246" s="14"/>
      <c r="L246" s="14"/>
      <c r="M246" s="14"/>
      <c r="N246" s="14"/>
      <c r="O246" s="14"/>
      <c r="P246" s="14"/>
      <c r="Q246" s="14"/>
      <c r="R246" s="15"/>
      <c r="S246" s="15"/>
      <c r="T246" s="14"/>
      <c r="U246" s="14"/>
      <c r="V246" s="8" t="str">
        <f aca="false">IF(AND(R246&lt;&gt;"",S246&lt;&gt;""),NETWORKDAYS(R246,S246)-1,"")</f>
        <v/>
      </c>
      <c r="W246" s="14"/>
    </row>
    <row r="247" customFormat="false" ht="15" hidden="false" customHeight="false" outlineLevel="0" collapsed="false">
      <c r="A247" s="14"/>
      <c r="B247" s="15"/>
      <c r="C247" s="14"/>
      <c r="D247" s="14"/>
      <c r="E247" s="14"/>
      <c r="F247" s="14"/>
      <c r="G247" s="14"/>
      <c r="H247" s="14"/>
      <c r="I247" s="14"/>
      <c r="J247" s="14"/>
      <c r="K247" s="14"/>
      <c r="L247" s="14"/>
      <c r="M247" s="14"/>
      <c r="N247" s="14"/>
      <c r="O247" s="14"/>
      <c r="P247" s="14"/>
      <c r="Q247" s="14"/>
      <c r="R247" s="15"/>
      <c r="S247" s="15"/>
      <c r="T247" s="14"/>
      <c r="U247" s="14"/>
      <c r="V247" s="8" t="str">
        <f aca="false">IF(AND(R247&lt;&gt;"",S247&lt;&gt;""),NETWORKDAYS(R247,S247)-1,"")</f>
        <v/>
      </c>
      <c r="W247" s="14"/>
    </row>
    <row r="248" customFormat="false" ht="15" hidden="false" customHeight="false" outlineLevel="0" collapsed="false">
      <c r="A248" s="14"/>
      <c r="B248" s="15"/>
      <c r="C248" s="14"/>
      <c r="D248" s="14"/>
      <c r="E248" s="14"/>
      <c r="F248" s="14"/>
      <c r="G248" s="14"/>
      <c r="H248" s="14"/>
      <c r="I248" s="14"/>
      <c r="J248" s="14"/>
      <c r="K248" s="14"/>
      <c r="L248" s="14"/>
      <c r="M248" s="14"/>
      <c r="N248" s="14"/>
      <c r="O248" s="14"/>
      <c r="P248" s="14"/>
      <c r="Q248" s="14"/>
      <c r="R248" s="15"/>
      <c r="S248" s="15"/>
      <c r="T248" s="14"/>
      <c r="U248" s="14"/>
      <c r="V248" s="8" t="str">
        <f aca="false">IF(AND(R248&lt;&gt;"",S248&lt;&gt;""),NETWORKDAYS(R248,S248)-1,"")</f>
        <v/>
      </c>
      <c r="W248" s="14"/>
    </row>
    <row r="249" customFormat="false" ht="15" hidden="false" customHeight="false" outlineLevel="0" collapsed="false">
      <c r="A249" s="14"/>
      <c r="B249" s="15"/>
      <c r="C249" s="14"/>
      <c r="D249" s="14"/>
      <c r="E249" s="14"/>
      <c r="F249" s="14"/>
      <c r="G249" s="14"/>
      <c r="H249" s="14"/>
      <c r="I249" s="14"/>
      <c r="J249" s="14"/>
      <c r="K249" s="14"/>
      <c r="L249" s="14"/>
      <c r="M249" s="14"/>
      <c r="N249" s="14"/>
      <c r="O249" s="14"/>
      <c r="P249" s="14"/>
      <c r="Q249" s="14"/>
      <c r="R249" s="15"/>
      <c r="S249" s="15"/>
      <c r="T249" s="14"/>
      <c r="U249" s="14"/>
      <c r="V249" s="8" t="str">
        <f aca="false">IF(AND(R249&lt;&gt;"",S249&lt;&gt;""),NETWORKDAYS(R249,S249)-1,"")</f>
        <v/>
      </c>
      <c r="W249" s="14"/>
    </row>
    <row r="250" customFormat="false" ht="15" hidden="false" customHeight="false" outlineLevel="0" collapsed="false">
      <c r="A250" s="14"/>
      <c r="B250" s="15"/>
      <c r="C250" s="14"/>
      <c r="D250" s="14"/>
      <c r="E250" s="14"/>
      <c r="F250" s="14"/>
      <c r="G250" s="14"/>
      <c r="H250" s="14"/>
      <c r="I250" s="14"/>
      <c r="J250" s="14"/>
      <c r="K250" s="14"/>
      <c r="L250" s="14"/>
      <c r="M250" s="14"/>
      <c r="N250" s="14"/>
      <c r="O250" s="14"/>
      <c r="P250" s="14"/>
      <c r="Q250" s="14"/>
      <c r="R250" s="15"/>
      <c r="S250" s="15"/>
      <c r="T250" s="14"/>
      <c r="U250" s="14"/>
      <c r="V250" s="8" t="str">
        <f aca="false">IF(AND(R250&lt;&gt;"",S250&lt;&gt;""),NETWORKDAYS(R250,S250)-1,"")</f>
        <v/>
      </c>
      <c r="W250" s="14"/>
    </row>
    <row r="251" customFormat="false" ht="15" hidden="false" customHeight="false" outlineLevel="0" collapsed="false">
      <c r="A251" s="14"/>
      <c r="B251" s="15"/>
      <c r="C251" s="14"/>
      <c r="D251" s="14"/>
      <c r="E251" s="14"/>
      <c r="F251" s="14"/>
      <c r="G251" s="14"/>
      <c r="H251" s="14"/>
      <c r="I251" s="14"/>
      <c r="J251" s="14"/>
      <c r="K251" s="14"/>
      <c r="L251" s="14"/>
      <c r="M251" s="14"/>
      <c r="N251" s="14"/>
      <c r="O251" s="14"/>
      <c r="P251" s="14"/>
      <c r="Q251" s="14"/>
      <c r="R251" s="15"/>
      <c r="S251" s="15"/>
      <c r="T251" s="14"/>
      <c r="U251" s="14"/>
      <c r="V251" s="8" t="str">
        <f aca="false">IF(AND(R251&lt;&gt;"",S251&lt;&gt;""),NETWORKDAYS(R251,S251)-1,"")</f>
        <v/>
      </c>
      <c r="W251" s="14"/>
    </row>
    <row r="252" customFormat="false" ht="15" hidden="false" customHeight="false" outlineLevel="0" collapsed="false">
      <c r="A252" s="14"/>
      <c r="B252" s="15"/>
      <c r="C252" s="14"/>
      <c r="D252" s="14"/>
      <c r="E252" s="14"/>
      <c r="F252" s="14"/>
      <c r="G252" s="14"/>
      <c r="H252" s="14"/>
      <c r="I252" s="14"/>
      <c r="J252" s="14"/>
      <c r="K252" s="14"/>
      <c r="L252" s="14"/>
      <c r="M252" s="14"/>
      <c r="N252" s="14"/>
      <c r="O252" s="14"/>
      <c r="P252" s="14"/>
      <c r="Q252" s="14"/>
      <c r="R252" s="15"/>
      <c r="S252" s="15"/>
      <c r="T252" s="14"/>
      <c r="U252" s="14"/>
      <c r="V252" s="8" t="str">
        <f aca="false">IF(AND(R252&lt;&gt;"",S252&lt;&gt;""),NETWORKDAYS(R252,S252)-1,"")</f>
        <v/>
      </c>
      <c r="W252" s="14"/>
    </row>
    <row r="253" customFormat="false" ht="15" hidden="false" customHeight="false" outlineLevel="0" collapsed="false">
      <c r="A253" s="14"/>
      <c r="B253" s="15"/>
      <c r="C253" s="14"/>
      <c r="D253" s="14"/>
      <c r="E253" s="14"/>
      <c r="F253" s="14"/>
      <c r="G253" s="14"/>
      <c r="H253" s="14"/>
      <c r="I253" s="14"/>
      <c r="J253" s="14"/>
      <c r="K253" s="14"/>
      <c r="L253" s="14"/>
      <c r="M253" s="14"/>
      <c r="N253" s="14"/>
      <c r="O253" s="14"/>
      <c r="P253" s="14"/>
      <c r="Q253" s="14"/>
      <c r="R253" s="15"/>
      <c r="S253" s="15"/>
      <c r="T253" s="14"/>
      <c r="U253" s="14"/>
      <c r="V253" s="8" t="str">
        <f aca="false">IF(AND(R253&lt;&gt;"",S253&lt;&gt;""),NETWORKDAYS(R253,S253)-1,"")</f>
        <v/>
      </c>
      <c r="W253" s="14"/>
    </row>
    <row r="254" customFormat="false" ht="15" hidden="false" customHeight="false" outlineLevel="0" collapsed="false">
      <c r="A254" s="14"/>
      <c r="B254" s="15"/>
      <c r="C254" s="14"/>
      <c r="D254" s="14"/>
      <c r="E254" s="14"/>
      <c r="F254" s="14"/>
      <c r="G254" s="14"/>
      <c r="H254" s="14"/>
      <c r="I254" s="14"/>
      <c r="J254" s="14"/>
      <c r="K254" s="14"/>
      <c r="L254" s="14"/>
      <c r="M254" s="14"/>
      <c r="N254" s="14"/>
      <c r="O254" s="14"/>
      <c r="P254" s="14"/>
      <c r="Q254" s="14"/>
      <c r="R254" s="15"/>
      <c r="S254" s="15"/>
      <c r="T254" s="14"/>
      <c r="U254" s="14"/>
      <c r="V254" s="8" t="str">
        <f aca="false">IF(AND(R254&lt;&gt;"",S254&lt;&gt;""),NETWORKDAYS(R254,S254)-1,"")</f>
        <v/>
      </c>
      <c r="W254" s="14"/>
    </row>
    <row r="255" customFormat="false" ht="15" hidden="false" customHeight="false" outlineLevel="0" collapsed="false">
      <c r="A255" s="14"/>
      <c r="B255" s="15"/>
      <c r="C255" s="14"/>
      <c r="D255" s="14"/>
      <c r="E255" s="14"/>
      <c r="F255" s="14"/>
      <c r="G255" s="14"/>
      <c r="H255" s="14"/>
      <c r="I255" s="14"/>
      <c r="J255" s="14"/>
      <c r="K255" s="14"/>
      <c r="L255" s="14"/>
      <c r="M255" s="14"/>
      <c r="N255" s="14"/>
      <c r="O255" s="14"/>
      <c r="P255" s="14"/>
      <c r="Q255" s="14"/>
      <c r="R255" s="15"/>
      <c r="S255" s="15"/>
      <c r="T255" s="14"/>
      <c r="U255" s="14"/>
      <c r="V255" s="8" t="str">
        <f aca="false">IF(AND(R255&lt;&gt;"",S255&lt;&gt;""),NETWORKDAYS(R255,S255)-1,"")</f>
        <v/>
      </c>
      <c r="W255" s="14"/>
    </row>
    <row r="256" customFormat="false" ht="15" hidden="false" customHeight="false" outlineLevel="0" collapsed="false">
      <c r="A256" s="14"/>
      <c r="B256" s="15"/>
      <c r="C256" s="14"/>
      <c r="D256" s="14"/>
      <c r="E256" s="14"/>
      <c r="F256" s="14"/>
      <c r="G256" s="14"/>
      <c r="H256" s="14"/>
      <c r="I256" s="14"/>
      <c r="J256" s="14"/>
      <c r="K256" s="14"/>
      <c r="L256" s="14"/>
      <c r="M256" s="14"/>
      <c r="N256" s="14"/>
      <c r="O256" s="14"/>
      <c r="P256" s="14"/>
      <c r="Q256" s="14"/>
      <c r="R256" s="15"/>
      <c r="S256" s="15"/>
      <c r="T256" s="14"/>
      <c r="U256" s="14"/>
      <c r="V256" s="8" t="str">
        <f aca="false">IF(AND(R256&lt;&gt;"",S256&lt;&gt;""),NETWORKDAYS(R256,S256)-1,"")</f>
        <v/>
      </c>
      <c r="W256" s="14"/>
    </row>
    <row r="257" customFormat="false" ht="15" hidden="false" customHeight="false" outlineLevel="0" collapsed="false">
      <c r="A257" s="14"/>
      <c r="B257" s="15"/>
      <c r="C257" s="14"/>
      <c r="D257" s="14"/>
      <c r="E257" s="14"/>
      <c r="F257" s="14"/>
      <c r="G257" s="14"/>
      <c r="H257" s="14"/>
      <c r="I257" s="14"/>
      <c r="J257" s="14"/>
      <c r="K257" s="14"/>
      <c r="L257" s="14"/>
      <c r="M257" s="14"/>
      <c r="N257" s="14"/>
      <c r="O257" s="14"/>
      <c r="P257" s="14"/>
      <c r="Q257" s="14"/>
      <c r="R257" s="15"/>
      <c r="S257" s="15"/>
      <c r="T257" s="14"/>
      <c r="U257" s="14"/>
      <c r="V257" s="8" t="str">
        <f aca="false">IF(AND(R257&lt;&gt;"",S257&lt;&gt;""),NETWORKDAYS(R257,S257)-1,"")</f>
        <v/>
      </c>
      <c r="W257" s="14"/>
    </row>
    <row r="258" customFormat="false" ht="15" hidden="false" customHeight="false" outlineLevel="0" collapsed="false">
      <c r="A258" s="14"/>
      <c r="B258" s="15"/>
      <c r="C258" s="14"/>
      <c r="D258" s="14"/>
      <c r="E258" s="14"/>
      <c r="F258" s="14"/>
      <c r="G258" s="14"/>
      <c r="H258" s="14"/>
      <c r="I258" s="14"/>
      <c r="J258" s="14"/>
      <c r="K258" s="14"/>
      <c r="L258" s="14"/>
      <c r="M258" s="14"/>
      <c r="N258" s="14"/>
      <c r="O258" s="14"/>
      <c r="P258" s="14"/>
      <c r="Q258" s="14"/>
      <c r="R258" s="15"/>
      <c r="S258" s="15"/>
      <c r="T258" s="14"/>
      <c r="U258" s="14"/>
      <c r="V258" s="8" t="str">
        <f aca="false">IF(AND(R258&lt;&gt;"",S258&lt;&gt;""),NETWORKDAYS(R258,S258)-1,"")</f>
        <v/>
      </c>
      <c r="W258" s="14"/>
    </row>
    <row r="259" customFormat="false" ht="15" hidden="false" customHeight="false" outlineLevel="0" collapsed="false">
      <c r="A259" s="14"/>
      <c r="B259" s="15"/>
      <c r="C259" s="14"/>
      <c r="D259" s="14"/>
      <c r="E259" s="14"/>
      <c r="F259" s="14"/>
      <c r="G259" s="14"/>
      <c r="H259" s="14"/>
      <c r="I259" s="14"/>
      <c r="J259" s="14"/>
      <c r="K259" s="14"/>
      <c r="L259" s="14"/>
      <c r="M259" s="14"/>
      <c r="N259" s="14"/>
      <c r="O259" s="14"/>
      <c r="P259" s="14"/>
      <c r="Q259" s="14"/>
      <c r="R259" s="15"/>
      <c r="S259" s="15"/>
      <c r="T259" s="14"/>
      <c r="U259" s="14"/>
      <c r="V259" s="8" t="str">
        <f aca="false">IF(AND(R259&lt;&gt;"",S259&lt;&gt;""),NETWORKDAYS(R259,S259)-1,"")</f>
        <v/>
      </c>
      <c r="W259" s="14"/>
    </row>
    <row r="260" customFormat="false" ht="15" hidden="false" customHeight="false" outlineLevel="0" collapsed="false">
      <c r="A260" s="14"/>
      <c r="B260" s="15"/>
      <c r="C260" s="14"/>
      <c r="D260" s="14"/>
      <c r="E260" s="14"/>
      <c r="F260" s="14"/>
      <c r="G260" s="14"/>
      <c r="H260" s="14"/>
      <c r="I260" s="14"/>
      <c r="J260" s="14"/>
      <c r="K260" s="14"/>
      <c r="L260" s="14"/>
      <c r="M260" s="14"/>
      <c r="N260" s="14"/>
      <c r="O260" s="14"/>
      <c r="P260" s="14"/>
      <c r="Q260" s="14"/>
      <c r="R260" s="15"/>
      <c r="S260" s="15"/>
      <c r="T260" s="14"/>
      <c r="U260" s="14"/>
      <c r="V260" s="8" t="str">
        <f aca="false">IF(AND(R260&lt;&gt;"",S260&lt;&gt;""),NETWORKDAYS(R260,S260)-1,"")</f>
        <v/>
      </c>
      <c r="W260" s="14"/>
    </row>
    <row r="261" customFormat="false" ht="15" hidden="false" customHeight="false" outlineLevel="0" collapsed="false">
      <c r="A261" s="14"/>
      <c r="B261" s="15"/>
      <c r="C261" s="14"/>
      <c r="D261" s="14"/>
      <c r="E261" s="14"/>
      <c r="F261" s="14"/>
      <c r="G261" s="14"/>
      <c r="H261" s="14"/>
      <c r="I261" s="14"/>
      <c r="J261" s="14"/>
      <c r="K261" s="14"/>
      <c r="L261" s="14"/>
      <c r="M261" s="14"/>
      <c r="N261" s="14"/>
      <c r="O261" s="14"/>
      <c r="P261" s="14"/>
      <c r="Q261" s="14"/>
      <c r="R261" s="15"/>
      <c r="S261" s="15"/>
      <c r="T261" s="14"/>
      <c r="U261" s="14"/>
      <c r="V261" s="8" t="str">
        <f aca="false">IF(AND(R261&lt;&gt;"",S261&lt;&gt;""),NETWORKDAYS(R261,S261)-1,"")</f>
        <v/>
      </c>
      <c r="W261" s="14"/>
    </row>
    <row r="262" customFormat="false" ht="15" hidden="false" customHeight="false" outlineLevel="0" collapsed="false">
      <c r="A262" s="14"/>
      <c r="B262" s="15"/>
      <c r="C262" s="14"/>
      <c r="D262" s="14"/>
      <c r="E262" s="14"/>
      <c r="F262" s="14"/>
      <c r="G262" s="14"/>
      <c r="H262" s="14"/>
      <c r="I262" s="14"/>
      <c r="J262" s="14"/>
      <c r="K262" s="14"/>
      <c r="L262" s="14"/>
      <c r="M262" s="14"/>
      <c r="N262" s="14"/>
      <c r="O262" s="14"/>
      <c r="P262" s="14"/>
      <c r="Q262" s="14"/>
      <c r="R262" s="15"/>
      <c r="S262" s="15"/>
      <c r="T262" s="14"/>
      <c r="U262" s="14"/>
      <c r="V262" s="8" t="str">
        <f aca="false">IF(AND(R262&lt;&gt;"",S262&lt;&gt;""),NETWORKDAYS(R262,S262)-1,"")</f>
        <v/>
      </c>
      <c r="W262" s="14"/>
    </row>
    <row r="263" customFormat="false" ht="15" hidden="false" customHeight="false" outlineLevel="0" collapsed="false">
      <c r="A263" s="14"/>
      <c r="B263" s="15"/>
      <c r="C263" s="14"/>
      <c r="D263" s="14"/>
      <c r="E263" s="14"/>
      <c r="F263" s="14"/>
      <c r="G263" s="14"/>
      <c r="H263" s="14"/>
      <c r="I263" s="14"/>
      <c r="J263" s="14"/>
      <c r="K263" s="14"/>
      <c r="L263" s="14"/>
      <c r="M263" s="14"/>
      <c r="N263" s="14"/>
      <c r="O263" s="14"/>
      <c r="P263" s="14"/>
      <c r="Q263" s="14"/>
      <c r="R263" s="15"/>
      <c r="S263" s="15"/>
      <c r="T263" s="14"/>
      <c r="U263" s="14"/>
      <c r="V263" s="8" t="str">
        <f aca="false">IF(AND(R263&lt;&gt;"",S263&lt;&gt;""),NETWORKDAYS(R263,S263)-1,"")</f>
        <v/>
      </c>
      <c r="W263" s="14"/>
    </row>
    <row r="264" customFormat="false" ht="15" hidden="false" customHeight="false" outlineLevel="0" collapsed="false">
      <c r="A264" s="14"/>
      <c r="B264" s="15"/>
      <c r="C264" s="14"/>
      <c r="D264" s="14"/>
      <c r="E264" s="14"/>
      <c r="F264" s="14"/>
      <c r="G264" s="14"/>
      <c r="H264" s="14"/>
      <c r="I264" s="14"/>
      <c r="J264" s="14"/>
      <c r="K264" s="14"/>
      <c r="L264" s="14"/>
      <c r="M264" s="14"/>
      <c r="N264" s="14"/>
      <c r="O264" s="14"/>
      <c r="P264" s="14"/>
      <c r="Q264" s="14"/>
      <c r="R264" s="15"/>
      <c r="S264" s="15"/>
      <c r="T264" s="14"/>
      <c r="U264" s="14"/>
      <c r="V264" s="8" t="str">
        <f aca="false">IF(AND(R264&lt;&gt;"",S264&lt;&gt;""),NETWORKDAYS(R264,S264)-1,"")</f>
        <v/>
      </c>
      <c r="W264" s="14"/>
    </row>
    <row r="265" customFormat="false" ht="15" hidden="false" customHeight="false" outlineLevel="0" collapsed="false">
      <c r="A265" s="14"/>
      <c r="B265" s="15"/>
      <c r="C265" s="14"/>
      <c r="D265" s="14"/>
      <c r="E265" s="14"/>
      <c r="F265" s="14"/>
      <c r="G265" s="14"/>
      <c r="H265" s="14"/>
      <c r="I265" s="14"/>
      <c r="J265" s="14"/>
      <c r="K265" s="14"/>
      <c r="L265" s="14"/>
      <c r="M265" s="14"/>
      <c r="N265" s="14"/>
      <c r="O265" s="14"/>
      <c r="P265" s="14"/>
      <c r="Q265" s="14"/>
      <c r="R265" s="15"/>
      <c r="S265" s="15"/>
      <c r="T265" s="14"/>
      <c r="U265" s="14"/>
      <c r="V265" s="8" t="str">
        <f aca="false">IF(AND(R265&lt;&gt;"",S265&lt;&gt;""),NETWORKDAYS(R265,S265)-1,"")</f>
        <v/>
      </c>
      <c r="W265" s="14"/>
    </row>
    <row r="266" customFormat="false" ht="15" hidden="false" customHeight="false" outlineLevel="0" collapsed="false">
      <c r="A266" s="14"/>
      <c r="B266" s="15"/>
      <c r="C266" s="14"/>
      <c r="D266" s="14"/>
      <c r="E266" s="14"/>
      <c r="F266" s="14"/>
      <c r="G266" s="14"/>
      <c r="H266" s="14"/>
      <c r="I266" s="14"/>
      <c r="J266" s="14"/>
      <c r="K266" s="14"/>
      <c r="L266" s="14"/>
      <c r="M266" s="14"/>
      <c r="N266" s="14"/>
      <c r="O266" s="14"/>
      <c r="P266" s="14"/>
      <c r="Q266" s="14"/>
      <c r="R266" s="15"/>
      <c r="S266" s="15"/>
      <c r="T266" s="14"/>
      <c r="U266" s="14"/>
      <c r="V266" s="8" t="str">
        <f aca="false">IF(AND(R266&lt;&gt;"",S266&lt;&gt;""),NETWORKDAYS(R266,S266)-1,"")</f>
        <v/>
      </c>
      <c r="W266" s="14"/>
    </row>
    <row r="267" customFormat="false" ht="15" hidden="false" customHeight="false" outlineLevel="0" collapsed="false">
      <c r="A267" s="14"/>
      <c r="B267" s="15"/>
      <c r="C267" s="14"/>
      <c r="D267" s="14"/>
      <c r="E267" s="14"/>
      <c r="F267" s="14"/>
      <c r="G267" s="14"/>
      <c r="H267" s="14"/>
      <c r="I267" s="14"/>
      <c r="J267" s="14"/>
      <c r="K267" s="14"/>
      <c r="L267" s="14"/>
      <c r="M267" s="14"/>
      <c r="N267" s="14"/>
      <c r="O267" s="14"/>
      <c r="P267" s="14"/>
      <c r="Q267" s="14"/>
      <c r="R267" s="15"/>
      <c r="S267" s="15"/>
      <c r="T267" s="14"/>
      <c r="U267" s="14"/>
      <c r="V267" s="8" t="str">
        <f aca="false">IF(AND(R267&lt;&gt;"",S267&lt;&gt;""),NETWORKDAYS(R267,S267)-1,"")</f>
        <v/>
      </c>
      <c r="W267" s="14"/>
    </row>
    <row r="268" customFormat="false" ht="15" hidden="false" customHeight="false" outlineLevel="0" collapsed="false">
      <c r="A268" s="14"/>
      <c r="B268" s="15"/>
      <c r="C268" s="14"/>
      <c r="D268" s="14"/>
      <c r="E268" s="14"/>
      <c r="F268" s="14"/>
      <c r="G268" s="14"/>
      <c r="H268" s="14"/>
      <c r="I268" s="14"/>
      <c r="J268" s="14"/>
      <c r="K268" s="14"/>
      <c r="L268" s="14"/>
      <c r="M268" s="14"/>
      <c r="N268" s="14"/>
      <c r="O268" s="14"/>
      <c r="P268" s="14"/>
      <c r="Q268" s="14"/>
      <c r="R268" s="15"/>
      <c r="S268" s="15"/>
      <c r="T268" s="14"/>
      <c r="U268" s="14"/>
      <c r="V268" s="8" t="str">
        <f aca="false">IF(AND(R268&lt;&gt;"",S268&lt;&gt;""),NETWORKDAYS(R268,S268)-1,"")</f>
        <v/>
      </c>
      <c r="W268" s="14"/>
    </row>
    <row r="269" customFormat="false" ht="15" hidden="false" customHeight="false" outlineLevel="0" collapsed="false">
      <c r="A269" s="14"/>
      <c r="B269" s="15"/>
      <c r="C269" s="14"/>
      <c r="D269" s="14"/>
      <c r="E269" s="14"/>
      <c r="F269" s="14"/>
      <c r="G269" s="14"/>
      <c r="H269" s="14"/>
      <c r="I269" s="14"/>
      <c r="J269" s="14"/>
      <c r="K269" s="14"/>
      <c r="L269" s="14"/>
      <c r="M269" s="14"/>
      <c r="N269" s="14"/>
      <c r="O269" s="14"/>
      <c r="P269" s="14"/>
      <c r="Q269" s="14"/>
      <c r="R269" s="15"/>
      <c r="S269" s="15"/>
      <c r="T269" s="14"/>
      <c r="U269" s="14"/>
      <c r="V269" s="8" t="str">
        <f aca="false">IF(AND(R269&lt;&gt;"",S269&lt;&gt;""),NETWORKDAYS(R269,S269)-1,"")</f>
        <v/>
      </c>
      <c r="W269" s="14"/>
    </row>
    <row r="270" customFormat="false" ht="15" hidden="false" customHeight="false" outlineLevel="0" collapsed="false">
      <c r="A270" s="14"/>
      <c r="B270" s="15"/>
      <c r="C270" s="14"/>
      <c r="D270" s="14"/>
      <c r="E270" s="14"/>
      <c r="F270" s="14"/>
      <c r="G270" s="14"/>
      <c r="H270" s="14"/>
      <c r="I270" s="14"/>
      <c r="J270" s="14"/>
      <c r="K270" s="14"/>
      <c r="L270" s="14"/>
      <c r="M270" s="14"/>
      <c r="N270" s="14"/>
      <c r="O270" s="14"/>
      <c r="P270" s="14"/>
      <c r="Q270" s="14"/>
      <c r="R270" s="15"/>
      <c r="S270" s="15"/>
      <c r="T270" s="14"/>
      <c r="U270" s="14"/>
      <c r="V270" s="8" t="str">
        <f aca="false">IF(AND(R270&lt;&gt;"",S270&lt;&gt;""),NETWORKDAYS(R270,S270)-1,"")</f>
        <v/>
      </c>
      <c r="W270" s="14"/>
    </row>
    <row r="271" customFormat="false" ht="15" hidden="false" customHeight="false" outlineLevel="0" collapsed="false">
      <c r="A271" s="14"/>
      <c r="B271" s="15"/>
      <c r="C271" s="14"/>
      <c r="D271" s="14"/>
      <c r="E271" s="14"/>
      <c r="F271" s="14"/>
      <c r="G271" s="14"/>
      <c r="H271" s="14"/>
      <c r="I271" s="14"/>
      <c r="J271" s="14"/>
      <c r="K271" s="14"/>
      <c r="L271" s="14"/>
      <c r="M271" s="14"/>
      <c r="N271" s="14"/>
      <c r="O271" s="14"/>
      <c r="P271" s="14"/>
      <c r="Q271" s="14"/>
      <c r="R271" s="15"/>
      <c r="S271" s="15"/>
      <c r="T271" s="14"/>
      <c r="U271" s="14"/>
      <c r="V271" s="8" t="str">
        <f aca="false">IF(AND(R271&lt;&gt;"",S271&lt;&gt;""),NETWORKDAYS(R271,S271)-1,"")</f>
        <v/>
      </c>
      <c r="W271" s="14"/>
    </row>
    <row r="272" customFormat="false" ht="15" hidden="false" customHeight="false" outlineLevel="0" collapsed="false">
      <c r="A272" s="14"/>
      <c r="B272" s="15"/>
      <c r="C272" s="14"/>
      <c r="D272" s="14"/>
      <c r="E272" s="14"/>
      <c r="F272" s="14"/>
      <c r="G272" s="14"/>
      <c r="H272" s="14"/>
      <c r="I272" s="14"/>
      <c r="J272" s="14"/>
      <c r="K272" s="14"/>
      <c r="L272" s="14"/>
      <c r="M272" s="14"/>
      <c r="N272" s="14"/>
      <c r="O272" s="14"/>
      <c r="P272" s="14"/>
      <c r="Q272" s="14"/>
      <c r="R272" s="15"/>
      <c r="S272" s="15"/>
      <c r="T272" s="14"/>
      <c r="U272" s="14"/>
      <c r="V272" s="8" t="str">
        <f aca="false">IF(AND(R272&lt;&gt;"",S272&lt;&gt;""),NETWORKDAYS(R272,S272)-1,"")</f>
        <v/>
      </c>
      <c r="W272" s="14"/>
    </row>
    <row r="273" customFormat="false" ht="15" hidden="false" customHeight="false" outlineLevel="0" collapsed="false">
      <c r="A273" s="14"/>
      <c r="B273" s="15"/>
      <c r="C273" s="14"/>
      <c r="D273" s="14"/>
      <c r="E273" s="14"/>
      <c r="F273" s="14"/>
      <c r="G273" s="14"/>
      <c r="H273" s="14"/>
      <c r="I273" s="14"/>
      <c r="J273" s="14"/>
      <c r="K273" s="14"/>
      <c r="L273" s="14"/>
      <c r="M273" s="14"/>
      <c r="N273" s="14"/>
      <c r="O273" s="14"/>
      <c r="P273" s="14"/>
      <c r="Q273" s="14"/>
      <c r="R273" s="15"/>
      <c r="S273" s="15"/>
      <c r="T273" s="14"/>
      <c r="U273" s="14"/>
      <c r="V273" s="8" t="str">
        <f aca="false">IF(AND(R273&lt;&gt;"",S273&lt;&gt;""),NETWORKDAYS(R273,S273)-1,"")</f>
        <v/>
      </c>
      <c r="W273" s="14"/>
    </row>
    <row r="274" customFormat="false" ht="15" hidden="false" customHeight="false" outlineLevel="0" collapsed="false">
      <c r="A274" s="14"/>
      <c r="B274" s="15"/>
      <c r="C274" s="14"/>
      <c r="D274" s="14"/>
      <c r="E274" s="14"/>
      <c r="F274" s="14"/>
      <c r="G274" s="14"/>
      <c r="H274" s="14"/>
      <c r="I274" s="14"/>
      <c r="J274" s="14"/>
      <c r="K274" s="14"/>
      <c r="L274" s="14"/>
      <c r="M274" s="14"/>
      <c r="N274" s="14"/>
      <c r="O274" s="14"/>
      <c r="P274" s="14"/>
      <c r="Q274" s="14"/>
      <c r="R274" s="15"/>
      <c r="S274" s="15"/>
      <c r="T274" s="14"/>
      <c r="U274" s="14"/>
      <c r="V274" s="8" t="str">
        <f aca="false">IF(AND(R274&lt;&gt;"",S274&lt;&gt;""),NETWORKDAYS(R274,S274)-1,"")</f>
        <v/>
      </c>
      <c r="W274" s="14"/>
    </row>
    <row r="275" customFormat="false" ht="15" hidden="false" customHeight="false" outlineLevel="0" collapsed="false">
      <c r="A275" s="14"/>
      <c r="B275" s="15"/>
      <c r="C275" s="14"/>
      <c r="D275" s="14"/>
      <c r="E275" s="14"/>
      <c r="F275" s="14"/>
      <c r="G275" s="14"/>
      <c r="H275" s="14"/>
      <c r="I275" s="14"/>
      <c r="J275" s="14"/>
      <c r="K275" s="14"/>
      <c r="L275" s="14"/>
      <c r="M275" s="14"/>
      <c r="N275" s="14"/>
      <c r="O275" s="14"/>
      <c r="P275" s="14"/>
      <c r="Q275" s="14"/>
      <c r="R275" s="15"/>
      <c r="S275" s="15"/>
      <c r="T275" s="14"/>
      <c r="U275" s="14"/>
      <c r="V275" s="8" t="str">
        <f aca="false">IF(AND(R275&lt;&gt;"",S275&lt;&gt;""),NETWORKDAYS(R275,S275)-1,"")</f>
        <v/>
      </c>
      <c r="W275" s="14"/>
    </row>
    <row r="276" customFormat="false" ht="15" hidden="false" customHeight="false" outlineLevel="0" collapsed="false">
      <c r="A276" s="14"/>
      <c r="B276" s="15"/>
      <c r="C276" s="14"/>
      <c r="D276" s="14"/>
      <c r="E276" s="14"/>
      <c r="F276" s="14"/>
      <c r="G276" s="14"/>
      <c r="H276" s="14"/>
      <c r="I276" s="14"/>
      <c r="J276" s="14"/>
      <c r="K276" s="14"/>
      <c r="L276" s="14"/>
      <c r="M276" s="14"/>
      <c r="N276" s="14"/>
      <c r="O276" s="14"/>
      <c r="P276" s="14"/>
      <c r="Q276" s="14"/>
      <c r="R276" s="15"/>
      <c r="S276" s="15"/>
      <c r="T276" s="14"/>
      <c r="U276" s="14"/>
      <c r="V276" s="8" t="str">
        <f aca="false">IF(AND(R276&lt;&gt;"",S276&lt;&gt;""),NETWORKDAYS(R276,S276)-1,"")</f>
        <v/>
      </c>
      <c r="W276" s="14"/>
    </row>
    <row r="277" customFormat="false" ht="15" hidden="false" customHeight="false" outlineLevel="0" collapsed="false">
      <c r="A277" s="14"/>
      <c r="B277" s="15"/>
      <c r="C277" s="14"/>
      <c r="D277" s="14"/>
      <c r="E277" s="14"/>
      <c r="F277" s="14"/>
      <c r="G277" s="14"/>
      <c r="H277" s="14"/>
      <c r="I277" s="14"/>
      <c r="J277" s="14"/>
      <c r="K277" s="14"/>
      <c r="L277" s="14"/>
      <c r="M277" s="14"/>
      <c r="N277" s="14"/>
      <c r="O277" s="14"/>
      <c r="P277" s="14"/>
      <c r="Q277" s="14"/>
      <c r="R277" s="15"/>
      <c r="S277" s="15"/>
      <c r="T277" s="14"/>
      <c r="U277" s="14"/>
      <c r="V277" s="8" t="str">
        <f aca="false">IF(AND(R277&lt;&gt;"",S277&lt;&gt;""),NETWORKDAYS(R277,S277)-1,"")</f>
        <v/>
      </c>
      <c r="W277" s="14"/>
    </row>
    <row r="278" customFormat="false" ht="15" hidden="false" customHeight="false" outlineLevel="0" collapsed="false">
      <c r="A278" s="14"/>
      <c r="B278" s="15"/>
      <c r="C278" s="14"/>
      <c r="D278" s="14"/>
      <c r="E278" s="14"/>
      <c r="F278" s="14"/>
      <c r="G278" s="14"/>
      <c r="H278" s="14"/>
      <c r="I278" s="14"/>
      <c r="J278" s="14"/>
      <c r="K278" s="14"/>
      <c r="L278" s="14"/>
      <c r="M278" s="14"/>
      <c r="N278" s="14"/>
      <c r="O278" s="14"/>
      <c r="P278" s="14"/>
      <c r="Q278" s="14"/>
      <c r="R278" s="15"/>
      <c r="S278" s="15"/>
      <c r="T278" s="14"/>
      <c r="U278" s="14"/>
      <c r="V278" s="8" t="str">
        <f aca="false">IF(AND(R278&lt;&gt;"",S278&lt;&gt;""),NETWORKDAYS(R278,S278)-1,"")</f>
        <v/>
      </c>
      <c r="W278" s="14"/>
    </row>
    <row r="279" customFormat="false" ht="15" hidden="false" customHeight="false" outlineLevel="0" collapsed="false">
      <c r="A279" s="14"/>
      <c r="B279" s="15"/>
      <c r="C279" s="14"/>
      <c r="D279" s="14"/>
      <c r="E279" s="14"/>
      <c r="F279" s="14"/>
      <c r="G279" s="14"/>
      <c r="H279" s="14"/>
      <c r="I279" s="14"/>
      <c r="J279" s="14"/>
      <c r="K279" s="14"/>
      <c r="L279" s="14"/>
      <c r="M279" s="14"/>
      <c r="N279" s="14"/>
      <c r="O279" s="14"/>
      <c r="P279" s="14"/>
      <c r="Q279" s="14"/>
      <c r="R279" s="15"/>
      <c r="S279" s="15"/>
      <c r="T279" s="14"/>
      <c r="U279" s="14"/>
      <c r="V279" s="8" t="str">
        <f aca="false">IF(AND(R279&lt;&gt;"",S279&lt;&gt;""),NETWORKDAYS(R279,S279)-1,"")</f>
        <v/>
      </c>
      <c r="W279" s="14"/>
    </row>
    <row r="280" customFormat="false" ht="15" hidden="false" customHeight="false" outlineLevel="0" collapsed="false">
      <c r="A280" s="14"/>
      <c r="B280" s="15"/>
      <c r="C280" s="14"/>
      <c r="D280" s="14"/>
      <c r="E280" s="14"/>
      <c r="F280" s="14"/>
      <c r="G280" s="14"/>
      <c r="H280" s="14"/>
      <c r="I280" s="14"/>
      <c r="J280" s="14"/>
      <c r="K280" s="14"/>
      <c r="L280" s="14"/>
      <c r="M280" s="14"/>
      <c r="N280" s="14"/>
      <c r="O280" s="14"/>
      <c r="P280" s="14"/>
      <c r="Q280" s="14"/>
      <c r="R280" s="15"/>
      <c r="S280" s="15"/>
      <c r="T280" s="14"/>
      <c r="U280" s="14"/>
      <c r="V280" s="8" t="str">
        <f aca="false">IF(AND(R280&lt;&gt;"",S280&lt;&gt;""),NETWORKDAYS(R280,S280)-1,"")</f>
        <v/>
      </c>
      <c r="W280" s="14"/>
    </row>
    <row r="281" customFormat="false" ht="15" hidden="false" customHeight="false" outlineLevel="0" collapsed="false">
      <c r="A281" s="14"/>
      <c r="B281" s="15"/>
      <c r="C281" s="14"/>
      <c r="D281" s="14"/>
      <c r="E281" s="14"/>
      <c r="F281" s="14"/>
      <c r="G281" s="14"/>
      <c r="H281" s="14"/>
      <c r="I281" s="14"/>
      <c r="J281" s="14"/>
      <c r="K281" s="14"/>
      <c r="L281" s="14"/>
      <c r="M281" s="14"/>
      <c r="N281" s="14"/>
      <c r="O281" s="14"/>
      <c r="P281" s="14"/>
      <c r="Q281" s="14"/>
      <c r="R281" s="15"/>
      <c r="S281" s="15"/>
      <c r="T281" s="14"/>
      <c r="U281" s="14"/>
      <c r="V281" s="8" t="str">
        <f aca="false">IF(AND(R281&lt;&gt;"",S281&lt;&gt;""),NETWORKDAYS(R281,S281)-1,"")</f>
        <v/>
      </c>
      <c r="W281" s="14"/>
    </row>
    <row r="282" customFormat="false" ht="15" hidden="false" customHeight="false" outlineLevel="0" collapsed="false">
      <c r="A282" s="14"/>
      <c r="B282" s="15"/>
      <c r="C282" s="14"/>
      <c r="D282" s="14"/>
      <c r="E282" s="14"/>
      <c r="F282" s="14"/>
      <c r="G282" s="14"/>
      <c r="H282" s="14"/>
      <c r="I282" s="14"/>
      <c r="J282" s="14"/>
      <c r="K282" s="14"/>
      <c r="L282" s="14"/>
      <c r="M282" s="14"/>
      <c r="N282" s="14"/>
      <c r="O282" s="14"/>
      <c r="P282" s="14"/>
      <c r="Q282" s="14"/>
      <c r="R282" s="15"/>
      <c r="S282" s="15"/>
      <c r="T282" s="14"/>
      <c r="U282" s="14"/>
      <c r="V282" s="8" t="str">
        <f aca="false">IF(AND(R282&lt;&gt;"",S282&lt;&gt;""),NETWORKDAYS(R282,S282)-1,"")</f>
        <v/>
      </c>
      <c r="W282" s="14"/>
    </row>
    <row r="283" customFormat="false" ht="15" hidden="false" customHeight="false" outlineLevel="0" collapsed="false">
      <c r="A283" s="14"/>
      <c r="B283" s="15"/>
      <c r="C283" s="14"/>
      <c r="D283" s="14"/>
      <c r="E283" s="14"/>
      <c r="F283" s="14"/>
      <c r="G283" s="14"/>
      <c r="H283" s="14"/>
      <c r="I283" s="14"/>
      <c r="J283" s="14"/>
      <c r="K283" s="14"/>
      <c r="L283" s="14"/>
      <c r="M283" s="14"/>
      <c r="N283" s="14"/>
      <c r="O283" s="14"/>
      <c r="P283" s="14"/>
      <c r="Q283" s="14"/>
      <c r="R283" s="15"/>
      <c r="S283" s="15"/>
      <c r="T283" s="14"/>
      <c r="U283" s="14"/>
      <c r="V283" s="8" t="str">
        <f aca="false">IF(AND(R283&lt;&gt;"",S283&lt;&gt;""),NETWORKDAYS(R283,S283)-1,"")</f>
        <v/>
      </c>
      <c r="W283" s="14"/>
    </row>
    <row r="284" customFormat="false" ht="15" hidden="false" customHeight="false" outlineLevel="0" collapsed="false">
      <c r="A284" s="14"/>
      <c r="B284" s="15"/>
      <c r="C284" s="14"/>
      <c r="D284" s="14"/>
      <c r="E284" s="14"/>
      <c r="F284" s="14"/>
      <c r="G284" s="14"/>
      <c r="H284" s="14"/>
      <c r="I284" s="14"/>
      <c r="J284" s="14"/>
      <c r="K284" s="14"/>
      <c r="L284" s="14"/>
      <c r="M284" s="14"/>
      <c r="N284" s="14"/>
      <c r="O284" s="14"/>
      <c r="P284" s="14"/>
      <c r="Q284" s="14"/>
      <c r="R284" s="15"/>
      <c r="S284" s="15"/>
      <c r="T284" s="14"/>
      <c r="U284" s="14"/>
      <c r="V284" s="8" t="str">
        <f aca="false">IF(AND(R284&lt;&gt;"",S284&lt;&gt;""),NETWORKDAYS(R284,S284)-1,"")</f>
        <v/>
      </c>
      <c r="W284" s="14"/>
    </row>
    <row r="285" customFormat="false" ht="15" hidden="false" customHeight="false" outlineLevel="0" collapsed="false">
      <c r="A285" s="14"/>
      <c r="B285" s="15"/>
      <c r="C285" s="14"/>
      <c r="D285" s="14"/>
      <c r="E285" s="14"/>
      <c r="F285" s="14"/>
      <c r="G285" s="14"/>
      <c r="H285" s="14"/>
      <c r="I285" s="14"/>
      <c r="J285" s="14"/>
      <c r="K285" s="14"/>
      <c r="L285" s="14"/>
      <c r="M285" s="14"/>
      <c r="N285" s="14"/>
      <c r="O285" s="14"/>
      <c r="P285" s="14"/>
      <c r="Q285" s="14"/>
      <c r="R285" s="15"/>
      <c r="S285" s="15"/>
      <c r="T285" s="14"/>
      <c r="U285" s="14"/>
      <c r="V285" s="8" t="str">
        <f aca="false">IF(AND(R285&lt;&gt;"",S285&lt;&gt;""),NETWORKDAYS(R285,S285)-1,"")</f>
        <v/>
      </c>
      <c r="W285" s="14"/>
    </row>
    <row r="286" customFormat="false" ht="15" hidden="false" customHeight="false" outlineLevel="0" collapsed="false">
      <c r="A286" s="14"/>
      <c r="B286" s="15"/>
      <c r="C286" s="14"/>
      <c r="D286" s="14"/>
      <c r="E286" s="14"/>
      <c r="F286" s="14"/>
      <c r="G286" s="14"/>
      <c r="H286" s="14"/>
      <c r="I286" s="14"/>
      <c r="J286" s="14"/>
      <c r="K286" s="14"/>
      <c r="L286" s="14"/>
      <c r="M286" s="14"/>
      <c r="N286" s="14"/>
      <c r="O286" s="14"/>
      <c r="P286" s="14"/>
      <c r="Q286" s="14"/>
      <c r="R286" s="15"/>
      <c r="S286" s="15"/>
      <c r="T286" s="14"/>
      <c r="U286" s="14"/>
      <c r="V286" s="8" t="str">
        <f aca="false">IF(AND(R286&lt;&gt;"",S286&lt;&gt;""),NETWORKDAYS(R286,S286)-1,"")</f>
        <v/>
      </c>
      <c r="W286" s="14"/>
    </row>
    <row r="287" customFormat="false" ht="15" hidden="false" customHeight="false" outlineLevel="0" collapsed="false">
      <c r="A287" s="14"/>
      <c r="B287" s="15"/>
      <c r="C287" s="14"/>
      <c r="D287" s="14"/>
      <c r="E287" s="14"/>
      <c r="F287" s="14"/>
      <c r="G287" s="14"/>
      <c r="H287" s="14"/>
      <c r="I287" s="14"/>
      <c r="J287" s="14"/>
      <c r="K287" s="14"/>
      <c r="L287" s="14"/>
      <c r="M287" s="14"/>
      <c r="N287" s="14"/>
      <c r="O287" s="14"/>
      <c r="P287" s="14"/>
      <c r="Q287" s="14"/>
      <c r="R287" s="15"/>
      <c r="S287" s="15"/>
      <c r="T287" s="14"/>
      <c r="U287" s="14"/>
      <c r="V287" s="8" t="str">
        <f aca="false">IF(AND(R287&lt;&gt;"",S287&lt;&gt;""),NETWORKDAYS(R287,S287)-1,"")</f>
        <v/>
      </c>
      <c r="W287" s="14"/>
    </row>
    <row r="288" customFormat="false" ht="15" hidden="false" customHeight="false" outlineLevel="0" collapsed="false">
      <c r="A288" s="14"/>
      <c r="B288" s="15"/>
      <c r="C288" s="14"/>
      <c r="D288" s="14"/>
      <c r="E288" s="14"/>
      <c r="F288" s="14"/>
      <c r="G288" s="14"/>
      <c r="H288" s="14"/>
      <c r="I288" s="14"/>
      <c r="J288" s="14"/>
      <c r="K288" s="14"/>
      <c r="L288" s="14"/>
      <c r="M288" s="14"/>
      <c r="N288" s="14"/>
      <c r="O288" s="14"/>
      <c r="P288" s="14"/>
      <c r="Q288" s="14"/>
      <c r="R288" s="15"/>
      <c r="S288" s="15"/>
      <c r="T288" s="14"/>
      <c r="U288" s="14"/>
      <c r="V288" s="8" t="str">
        <f aca="false">IF(AND(R288&lt;&gt;"",S288&lt;&gt;""),NETWORKDAYS(R288,S288)-1,"")</f>
        <v/>
      </c>
      <c r="W288" s="14"/>
    </row>
    <row r="289" customFormat="false" ht="15" hidden="false" customHeight="false" outlineLevel="0" collapsed="false">
      <c r="A289" s="14"/>
      <c r="B289" s="15"/>
      <c r="C289" s="14"/>
      <c r="D289" s="14"/>
      <c r="E289" s="14"/>
      <c r="F289" s="14"/>
      <c r="G289" s="14"/>
      <c r="H289" s="14"/>
      <c r="I289" s="14"/>
      <c r="J289" s="14"/>
      <c r="K289" s="14"/>
      <c r="L289" s="14"/>
      <c r="M289" s="14"/>
      <c r="N289" s="14"/>
      <c r="O289" s="14"/>
      <c r="P289" s="14"/>
      <c r="Q289" s="14"/>
      <c r="R289" s="15"/>
      <c r="S289" s="15"/>
      <c r="T289" s="14"/>
      <c r="U289" s="14"/>
      <c r="V289" s="8" t="str">
        <f aca="false">IF(AND(R289&lt;&gt;"",S289&lt;&gt;""),NETWORKDAYS(R289,S289)-1,"")</f>
        <v/>
      </c>
      <c r="W289" s="14"/>
    </row>
    <row r="290" customFormat="false" ht="15" hidden="false" customHeight="false" outlineLevel="0" collapsed="false">
      <c r="A290" s="14"/>
      <c r="B290" s="15"/>
      <c r="C290" s="14"/>
      <c r="D290" s="14"/>
      <c r="E290" s="14"/>
      <c r="F290" s="14"/>
      <c r="G290" s="14"/>
      <c r="H290" s="14"/>
      <c r="I290" s="14"/>
      <c r="J290" s="14"/>
      <c r="K290" s="14"/>
      <c r="L290" s="14"/>
      <c r="M290" s="14"/>
      <c r="N290" s="14"/>
      <c r="O290" s="14"/>
      <c r="P290" s="14"/>
      <c r="Q290" s="14"/>
      <c r="R290" s="15"/>
      <c r="S290" s="15"/>
      <c r="T290" s="14"/>
      <c r="U290" s="14"/>
      <c r="V290" s="8" t="str">
        <f aca="false">IF(AND(R290&lt;&gt;"",S290&lt;&gt;""),NETWORKDAYS(R290,S290)-1,"")</f>
        <v/>
      </c>
      <c r="W290" s="14"/>
    </row>
    <row r="291" customFormat="false" ht="15" hidden="false" customHeight="false" outlineLevel="0" collapsed="false">
      <c r="A291" s="14"/>
      <c r="B291" s="15"/>
      <c r="C291" s="14"/>
      <c r="D291" s="14"/>
      <c r="E291" s="14"/>
      <c r="F291" s="14"/>
      <c r="G291" s="14"/>
      <c r="H291" s="14"/>
      <c r="I291" s="14"/>
      <c r="J291" s="14"/>
      <c r="K291" s="14"/>
      <c r="L291" s="14"/>
      <c r="M291" s="14"/>
      <c r="N291" s="14"/>
      <c r="O291" s="14"/>
      <c r="P291" s="14"/>
      <c r="Q291" s="14"/>
      <c r="R291" s="15"/>
      <c r="S291" s="15"/>
      <c r="T291" s="14"/>
      <c r="U291" s="14"/>
      <c r="V291" s="8" t="str">
        <f aca="false">IF(AND(R291&lt;&gt;"",S291&lt;&gt;""),NETWORKDAYS(R291,S291)-1,"")</f>
        <v/>
      </c>
      <c r="W291" s="14"/>
    </row>
    <row r="292" customFormat="false" ht="15" hidden="false" customHeight="false" outlineLevel="0" collapsed="false">
      <c r="A292" s="14"/>
      <c r="B292" s="15"/>
      <c r="C292" s="14"/>
      <c r="D292" s="14"/>
      <c r="E292" s="14"/>
      <c r="F292" s="14"/>
      <c r="G292" s="14"/>
      <c r="H292" s="14"/>
      <c r="I292" s="14"/>
      <c r="J292" s="14"/>
      <c r="K292" s="14"/>
      <c r="L292" s="14"/>
      <c r="M292" s="14"/>
      <c r="N292" s="14"/>
      <c r="O292" s="14"/>
      <c r="P292" s="14"/>
      <c r="Q292" s="14"/>
      <c r="R292" s="15"/>
      <c r="S292" s="15"/>
      <c r="T292" s="14"/>
      <c r="U292" s="14"/>
      <c r="V292" s="8" t="str">
        <f aca="false">IF(AND(R292&lt;&gt;"",S292&lt;&gt;""),NETWORKDAYS(R292,S292)-1,"")</f>
        <v/>
      </c>
      <c r="W292" s="14"/>
    </row>
    <row r="293" customFormat="false" ht="15" hidden="false" customHeight="false" outlineLevel="0" collapsed="false">
      <c r="A293" s="14"/>
      <c r="B293" s="15"/>
      <c r="C293" s="14"/>
      <c r="D293" s="14"/>
      <c r="E293" s="14"/>
      <c r="F293" s="14"/>
      <c r="G293" s="14"/>
      <c r="H293" s="14"/>
      <c r="I293" s="14"/>
      <c r="J293" s="14"/>
      <c r="K293" s="14"/>
      <c r="L293" s="14"/>
      <c r="M293" s="14"/>
      <c r="N293" s="14"/>
      <c r="O293" s="14"/>
      <c r="P293" s="14"/>
      <c r="Q293" s="14"/>
      <c r="R293" s="15"/>
      <c r="S293" s="15"/>
      <c r="T293" s="14"/>
      <c r="U293" s="14"/>
      <c r="V293" s="8" t="str">
        <f aca="false">IF(AND(R293&lt;&gt;"",S293&lt;&gt;""),NETWORKDAYS(R293,S293)-1,"")</f>
        <v/>
      </c>
      <c r="W293" s="14"/>
    </row>
    <row r="294" customFormat="false" ht="15" hidden="false" customHeight="false" outlineLevel="0" collapsed="false">
      <c r="A294" s="14"/>
      <c r="B294" s="15"/>
      <c r="C294" s="14"/>
      <c r="D294" s="14"/>
      <c r="E294" s="14"/>
      <c r="F294" s="14"/>
      <c r="G294" s="14"/>
      <c r="H294" s="14"/>
      <c r="I294" s="14"/>
      <c r="J294" s="14"/>
      <c r="K294" s="14"/>
      <c r="L294" s="14"/>
      <c r="M294" s="14"/>
      <c r="N294" s="14"/>
      <c r="O294" s="14"/>
      <c r="P294" s="14"/>
      <c r="Q294" s="14"/>
      <c r="R294" s="15"/>
      <c r="S294" s="15"/>
      <c r="T294" s="14"/>
      <c r="U294" s="14"/>
      <c r="V294" s="8" t="str">
        <f aca="false">IF(AND(R294&lt;&gt;"",S294&lt;&gt;""),NETWORKDAYS(R294,S294)-1,"")</f>
        <v/>
      </c>
      <c r="W294" s="14"/>
    </row>
    <row r="295" customFormat="false" ht="15" hidden="false" customHeight="false" outlineLevel="0" collapsed="false">
      <c r="A295" s="14"/>
      <c r="B295" s="15"/>
      <c r="C295" s="14"/>
      <c r="D295" s="14"/>
      <c r="E295" s="14"/>
      <c r="F295" s="14"/>
      <c r="G295" s="14"/>
      <c r="H295" s="14"/>
      <c r="I295" s="14"/>
      <c r="J295" s="14"/>
      <c r="K295" s="14"/>
      <c r="L295" s="14"/>
      <c r="M295" s="14"/>
      <c r="N295" s="14"/>
      <c r="O295" s="14"/>
      <c r="P295" s="14"/>
      <c r="Q295" s="14"/>
      <c r="R295" s="15"/>
      <c r="S295" s="15"/>
      <c r="T295" s="14"/>
      <c r="U295" s="14"/>
      <c r="V295" s="8" t="str">
        <f aca="false">IF(AND(R295&lt;&gt;"",S295&lt;&gt;""),NETWORKDAYS(R295,S295)-1,"")</f>
        <v/>
      </c>
      <c r="W295" s="14"/>
    </row>
    <row r="296" customFormat="false" ht="15" hidden="false" customHeight="false" outlineLevel="0" collapsed="false">
      <c r="A296" s="14"/>
      <c r="B296" s="15"/>
      <c r="C296" s="14"/>
      <c r="D296" s="14"/>
      <c r="E296" s="14"/>
      <c r="F296" s="14"/>
      <c r="G296" s="14"/>
      <c r="H296" s="14"/>
      <c r="I296" s="14"/>
      <c r="J296" s="14"/>
      <c r="K296" s="14"/>
      <c r="L296" s="14"/>
      <c r="M296" s="14"/>
      <c r="N296" s="14"/>
      <c r="O296" s="14"/>
      <c r="P296" s="14"/>
      <c r="Q296" s="14"/>
      <c r="R296" s="15"/>
      <c r="S296" s="15"/>
      <c r="T296" s="14"/>
      <c r="U296" s="14"/>
      <c r="V296" s="8" t="str">
        <f aca="false">IF(AND(R296&lt;&gt;"",S296&lt;&gt;""),NETWORKDAYS(R296,S296)-1,"")</f>
        <v/>
      </c>
      <c r="W296" s="14"/>
    </row>
    <row r="297" customFormat="false" ht="15" hidden="false" customHeight="false" outlineLevel="0" collapsed="false">
      <c r="A297" s="14"/>
      <c r="B297" s="15"/>
      <c r="C297" s="14"/>
      <c r="D297" s="14"/>
      <c r="E297" s="14"/>
      <c r="F297" s="14"/>
      <c r="G297" s="14"/>
      <c r="H297" s="14"/>
      <c r="I297" s="14"/>
      <c r="J297" s="14"/>
      <c r="K297" s="14"/>
      <c r="L297" s="14"/>
      <c r="M297" s="14"/>
      <c r="N297" s="14"/>
      <c r="O297" s="14"/>
      <c r="P297" s="14"/>
      <c r="Q297" s="14"/>
      <c r="R297" s="15"/>
      <c r="S297" s="15"/>
      <c r="T297" s="14"/>
      <c r="U297" s="14"/>
      <c r="V297" s="8" t="str">
        <f aca="false">IF(AND(R297&lt;&gt;"",S297&lt;&gt;""),NETWORKDAYS(R297,S297)-1,"")</f>
        <v/>
      </c>
      <c r="W297" s="14"/>
    </row>
    <row r="298" customFormat="false" ht="15" hidden="false" customHeight="false" outlineLevel="0" collapsed="false">
      <c r="A298" s="14"/>
      <c r="B298" s="15"/>
      <c r="C298" s="14"/>
      <c r="D298" s="14"/>
      <c r="E298" s="14"/>
      <c r="F298" s="14"/>
      <c r="G298" s="14"/>
      <c r="H298" s="14"/>
      <c r="I298" s="14"/>
      <c r="J298" s="14"/>
      <c r="K298" s="14"/>
      <c r="L298" s="14"/>
      <c r="M298" s="14"/>
      <c r="N298" s="14"/>
      <c r="O298" s="14"/>
      <c r="P298" s="14"/>
      <c r="Q298" s="14"/>
      <c r="R298" s="15"/>
      <c r="S298" s="15"/>
      <c r="T298" s="14"/>
      <c r="U298" s="14"/>
      <c r="V298" s="8" t="str">
        <f aca="false">IF(AND(R298&lt;&gt;"",S298&lt;&gt;""),NETWORKDAYS(R298,S298)-1,"")</f>
        <v/>
      </c>
      <c r="W298" s="14"/>
    </row>
    <row r="299" customFormat="false" ht="15" hidden="false" customHeight="false" outlineLevel="0" collapsed="false">
      <c r="A299" s="14"/>
      <c r="B299" s="15"/>
      <c r="C299" s="14"/>
      <c r="D299" s="14"/>
      <c r="E299" s="14"/>
      <c r="F299" s="14"/>
      <c r="G299" s="14"/>
      <c r="H299" s="14"/>
      <c r="I299" s="14"/>
      <c r="J299" s="14"/>
      <c r="K299" s="14"/>
      <c r="L299" s="14"/>
      <c r="M299" s="14"/>
      <c r="N299" s="14"/>
      <c r="O299" s="14"/>
      <c r="P299" s="14"/>
      <c r="Q299" s="14"/>
      <c r="R299" s="15"/>
      <c r="S299" s="15"/>
      <c r="T299" s="14"/>
      <c r="U299" s="14"/>
      <c r="V299" s="8" t="str">
        <f aca="false">IF(AND(R299&lt;&gt;"",S299&lt;&gt;""),NETWORKDAYS(R299,S299)-1,"")</f>
        <v/>
      </c>
      <c r="W299" s="14"/>
    </row>
    <row r="300" customFormat="false" ht="15" hidden="false" customHeight="false" outlineLevel="0" collapsed="false">
      <c r="A300" s="14"/>
      <c r="B300" s="15"/>
      <c r="C300" s="14"/>
      <c r="D300" s="14"/>
      <c r="E300" s="14"/>
      <c r="F300" s="14"/>
      <c r="G300" s="14"/>
      <c r="H300" s="14"/>
      <c r="I300" s="14"/>
      <c r="J300" s="14"/>
      <c r="K300" s="14"/>
      <c r="L300" s="14"/>
      <c r="M300" s="14"/>
      <c r="N300" s="14"/>
      <c r="O300" s="14"/>
      <c r="P300" s="14"/>
      <c r="Q300" s="14"/>
      <c r="R300" s="15"/>
      <c r="S300" s="15"/>
      <c r="T300" s="14"/>
      <c r="U300" s="14"/>
      <c r="V300" s="8" t="str">
        <f aca="false">IF(AND(R300&lt;&gt;"",S300&lt;&gt;""),NETWORKDAYS(R300,S300)-1,"")</f>
        <v/>
      </c>
      <c r="W300" s="14"/>
    </row>
    <row r="301" customFormat="false" ht="15" hidden="false" customHeight="false" outlineLevel="0" collapsed="false">
      <c r="A301" s="14"/>
      <c r="B301" s="15"/>
      <c r="C301" s="14"/>
      <c r="D301" s="14"/>
      <c r="E301" s="14"/>
      <c r="F301" s="14"/>
      <c r="G301" s="14"/>
      <c r="H301" s="14"/>
      <c r="I301" s="14"/>
      <c r="J301" s="14"/>
      <c r="K301" s="14"/>
      <c r="L301" s="14"/>
      <c r="M301" s="14"/>
      <c r="N301" s="14"/>
      <c r="O301" s="14"/>
      <c r="P301" s="14"/>
      <c r="Q301" s="14"/>
      <c r="R301" s="15"/>
      <c r="S301" s="15"/>
      <c r="T301" s="14"/>
      <c r="U301" s="14"/>
      <c r="V301" s="8" t="str">
        <f aca="false">IF(AND(R301&lt;&gt;"",S301&lt;&gt;""),NETWORKDAYS(R301,S301)-1,"")</f>
        <v/>
      </c>
      <c r="W301" s="14"/>
    </row>
    <row r="302" customFormat="false" ht="15" hidden="false" customHeight="false" outlineLevel="0" collapsed="false">
      <c r="A302" s="14"/>
      <c r="B302" s="15"/>
      <c r="C302" s="14"/>
      <c r="D302" s="14"/>
      <c r="E302" s="14"/>
      <c r="F302" s="14"/>
      <c r="G302" s="14"/>
      <c r="H302" s="14"/>
      <c r="I302" s="14"/>
      <c r="J302" s="14"/>
      <c r="K302" s="14"/>
      <c r="L302" s="14"/>
      <c r="M302" s="14"/>
      <c r="N302" s="14"/>
      <c r="O302" s="14"/>
      <c r="P302" s="14"/>
      <c r="Q302" s="14"/>
      <c r="R302" s="15"/>
      <c r="S302" s="15"/>
      <c r="T302" s="14"/>
      <c r="U302" s="14"/>
      <c r="V302" s="8" t="str">
        <f aca="false">IF(AND(R302&lt;&gt;"",S302&lt;&gt;""),NETWORKDAYS(R302,S302)-1,"")</f>
        <v/>
      </c>
      <c r="W302" s="14"/>
    </row>
    <row r="303" customFormat="false" ht="15" hidden="false" customHeight="false" outlineLevel="0" collapsed="false">
      <c r="A303" s="14"/>
      <c r="B303" s="15"/>
      <c r="C303" s="14"/>
      <c r="D303" s="14"/>
      <c r="E303" s="14"/>
      <c r="F303" s="14"/>
      <c r="G303" s="14"/>
      <c r="H303" s="14"/>
      <c r="I303" s="14"/>
      <c r="J303" s="14"/>
      <c r="K303" s="14"/>
      <c r="L303" s="14"/>
      <c r="M303" s="14"/>
      <c r="N303" s="14"/>
      <c r="O303" s="14"/>
      <c r="P303" s="14"/>
      <c r="Q303" s="14"/>
      <c r="R303" s="15"/>
      <c r="S303" s="15"/>
      <c r="T303" s="14"/>
      <c r="U303" s="14"/>
      <c r="V303" s="8" t="str">
        <f aca="false">IF(AND(R303&lt;&gt;"",S303&lt;&gt;""),NETWORKDAYS(R303,S303)-1,"")</f>
        <v/>
      </c>
      <c r="W303" s="14"/>
    </row>
  </sheetData>
  <autoFilter ref="A3:W303"/>
  <dataValidations count="6">
    <dataValidation allowBlank="true" errorStyle="stop" operator="between" showDropDown="false" showErrorMessage="false" showInputMessage="false" sqref="J4:J303" type="list">
      <formula1>Lists!$B$1:$B$4</formula1>
      <formula2>0</formula2>
    </dataValidation>
    <dataValidation allowBlank="true" errorStyle="stop" operator="between" showDropDown="false" showErrorMessage="false" showInputMessage="false" sqref="K4:K303" type="list">
      <formula1>Lists!$D$1:$D$5</formula1>
      <formula2>0</formula2>
    </dataValidation>
    <dataValidation allowBlank="true" errorStyle="stop" operator="between" showDropDown="false" showErrorMessage="false" showInputMessage="false" sqref="E4:E303" type="list">
      <formula1>Lists!$E$1:$E$6</formula1>
      <formula2>0</formula2>
    </dataValidation>
    <dataValidation allowBlank="true" errorStyle="stop" operator="between" showDropDown="false" showErrorMessage="false" showInputMessage="false" sqref="O4:O303" type="list">
      <formula1>Lists!$C$1:$C$10</formula1>
      <formula2>0</formula2>
    </dataValidation>
    <dataValidation allowBlank="true" errorStyle="stop" operator="between" showDropDown="false" showErrorMessage="false" showInputMessage="false" sqref="P4:P303" type="list">
      <formula1>Lists!$F$1:$F$3</formula1>
      <formula2>0</formula2>
    </dataValidation>
    <dataValidation allowBlank="true" errorStyle="stop" operator="between" showDropDown="false" showErrorMessage="false" showInputMessage="false" sqref="T4:U303" type="list">
      <formula1>Lists!$G$1:$G$2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4" min="3" style="0" width="9"/>
    <col collapsed="false" customWidth="true" hidden="false" outlineLevel="0" max="6" min="5" style="0" width="7"/>
    <col collapsed="false" customWidth="true" hidden="false" outlineLevel="0" max="8" min="7" style="0" width="8"/>
    <col collapsed="false" customWidth="true" hidden="false" outlineLevel="0" max="9" min="9" style="0" width="9"/>
    <col collapsed="false" customWidth="true" hidden="false" outlineLevel="0" max="10" min="10" style="0" width="16"/>
    <col collapsed="false" customWidth="true" hidden="false" outlineLevel="0" max="11" min="11" style="0" width="8"/>
    <col collapsed="false" customWidth="true" hidden="false" outlineLevel="0" max="12" min="12" style="0" width="7"/>
    <col collapsed="false" customWidth="true" hidden="false" outlineLevel="0" max="13" min="13" style="0" width="9"/>
    <col collapsed="false" customWidth="true" hidden="false" outlineLevel="0" max="14" min="14" style="0" width="30"/>
    <col collapsed="false" customWidth="true" hidden="false" outlineLevel="0" max="15" min="15" style="0" width="14"/>
    <col collapsed="false" customWidth="true" hidden="false" outlineLevel="0" max="16" min="16" style="0" width="30"/>
    <col collapsed="false" customWidth="true" hidden="false" outlineLevel="0" max="17" min="17" style="0" width="9"/>
  </cols>
  <sheetData>
    <row r="1" customFormat="false" ht="19.7" hidden="false" customHeight="false" outlineLevel="0" collapsed="false">
      <c r="A1" s="1" t="s">
        <v>9</v>
      </c>
    </row>
    <row r="2" customFormat="false" ht="15" hidden="false" customHeight="false" outlineLevel="0" collapsed="false">
      <c r="A2" s="2" t="s">
        <v>1583</v>
      </c>
    </row>
    <row r="3" customFormat="false" ht="30" hidden="false" customHeight="true" outlineLevel="0" collapsed="false">
      <c r="A3" s="7" t="s">
        <v>100</v>
      </c>
      <c r="B3" s="7" t="s">
        <v>71</v>
      </c>
      <c r="C3" s="7" t="s">
        <v>1584</v>
      </c>
      <c r="D3" s="7" t="s">
        <v>73</v>
      </c>
      <c r="E3" s="7" t="s">
        <v>30</v>
      </c>
      <c r="F3" s="7" t="s">
        <v>32</v>
      </c>
      <c r="G3" s="7" t="s">
        <v>33</v>
      </c>
      <c r="H3" s="7" t="s">
        <v>34</v>
      </c>
      <c r="I3" s="7" t="s">
        <v>1585</v>
      </c>
      <c r="J3" s="7" t="s">
        <v>1586</v>
      </c>
      <c r="K3" s="7" t="s">
        <v>1587</v>
      </c>
      <c r="L3" s="7" t="s">
        <v>49</v>
      </c>
      <c r="M3" s="7" t="s">
        <v>50</v>
      </c>
      <c r="N3" s="7" t="s">
        <v>1588</v>
      </c>
      <c r="O3" s="7" t="s">
        <v>1589</v>
      </c>
      <c r="P3" s="7" t="s">
        <v>107</v>
      </c>
      <c r="Q3" s="7" t="s">
        <v>1590</v>
      </c>
    </row>
    <row r="4" customFormat="false" ht="15" hidden="false" customHeight="false" outlineLevel="0" collapsed="false">
      <c r="A4" s="8" t="n">
        <v>1</v>
      </c>
      <c r="B4" s="13" t="n">
        <v>46328</v>
      </c>
      <c r="C4" s="8" t="n">
        <f aca="false">COUNTIF('Test cases'!$G$2:$G$380,A4)</f>
        <v>8</v>
      </c>
      <c r="D4" s="8" t="n">
        <f aca="false">COUNTIFS('Test cases'!$G$2:$G$380,A4,'Test cases'!$J$2:$J$380,"&lt;&gt;")</f>
        <v>0</v>
      </c>
      <c r="E4" s="8" t="n">
        <f aca="false">COUNTIFS('Test cases'!$G$2:$G$380,A4,'Test cases'!$J$2:$J$380,"Pass")+COUNTIFS('Test cases'!$G$2:$G$380,A4,'Test cases'!$J$2:$J$380,"Pass with note")</f>
        <v>0</v>
      </c>
      <c r="F4" s="8" t="n">
        <f aca="false">COUNTIFS('Test cases'!$G$2:$G$380,A4,'Test cases'!$J$2:$J$380,"Fail")</f>
        <v>0</v>
      </c>
      <c r="G4" s="8" t="n">
        <f aca="false">COUNTIFS('Test cases'!$G$2:$G$380,A4,'Test cases'!$J$2:$J$380,"Blocked")</f>
        <v>0</v>
      </c>
      <c r="H4" s="8" t="n">
        <f aca="false">COUNTIFS('Test cases'!$G$2:$G$380,A4,'Test cases'!$J$2:$J$380,"Not run")</f>
        <v>0</v>
      </c>
      <c r="I4" s="8" t="n">
        <f aca="false">COUNTIF(Bugs!$B$5:$B$303,B4)</f>
        <v>0</v>
      </c>
      <c r="J4" s="14"/>
      <c r="K4" s="14"/>
      <c r="L4" s="14"/>
      <c r="M4" s="14"/>
      <c r="N4" s="14"/>
      <c r="O4" s="14"/>
      <c r="P4" s="14"/>
      <c r="Q4" s="14"/>
    </row>
    <row r="5" customFormat="false" ht="15" hidden="false" customHeight="false" outlineLevel="0" collapsed="false">
      <c r="A5" s="8" t="n">
        <v>2</v>
      </c>
      <c r="B5" s="13" t="n">
        <v>46329</v>
      </c>
      <c r="C5" s="8" t="n">
        <f aca="false">COUNTIF('Test cases'!$G$2:$G$380,A5)</f>
        <v>18</v>
      </c>
      <c r="D5" s="8" t="n">
        <f aca="false">COUNTIFS('Test cases'!$G$2:$G$380,A5,'Test cases'!$J$2:$J$380,"&lt;&gt;")</f>
        <v>0</v>
      </c>
      <c r="E5" s="8" t="n">
        <f aca="false">COUNTIFS('Test cases'!$G$2:$G$380,A5,'Test cases'!$J$2:$J$380,"Pass")+COUNTIFS('Test cases'!$G$2:$G$380,A5,'Test cases'!$J$2:$J$380,"Pass with note")</f>
        <v>0</v>
      </c>
      <c r="F5" s="8" t="n">
        <f aca="false">COUNTIFS('Test cases'!$G$2:$G$380,A5,'Test cases'!$J$2:$J$380,"Fail")</f>
        <v>0</v>
      </c>
      <c r="G5" s="8" t="n">
        <f aca="false">COUNTIFS('Test cases'!$G$2:$G$380,A5,'Test cases'!$J$2:$J$380,"Blocked")</f>
        <v>0</v>
      </c>
      <c r="H5" s="8" t="n">
        <f aca="false">COUNTIFS('Test cases'!$G$2:$G$380,A5,'Test cases'!$J$2:$J$380,"Not run")</f>
        <v>0</v>
      </c>
      <c r="I5" s="8" t="n">
        <f aca="false">COUNTIF(Bugs!$B$5:$B$303,B5)</f>
        <v>0</v>
      </c>
      <c r="J5" s="14"/>
      <c r="K5" s="14"/>
      <c r="L5" s="14"/>
      <c r="M5" s="14"/>
      <c r="N5" s="14"/>
      <c r="O5" s="14"/>
      <c r="P5" s="14"/>
      <c r="Q5" s="14"/>
    </row>
    <row r="6" customFormat="false" ht="15" hidden="false" customHeight="false" outlineLevel="0" collapsed="false">
      <c r="A6" s="8" t="n">
        <v>3</v>
      </c>
      <c r="B6" s="13" t="n">
        <v>46330</v>
      </c>
      <c r="C6" s="8" t="n">
        <f aca="false">COUNTIF('Test cases'!$G$2:$G$380,A6)</f>
        <v>17</v>
      </c>
      <c r="D6" s="8" t="n">
        <f aca="false">COUNTIFS('Test cases'!$G$2:$G$380,A6,'Test cases'!$J$2:$J$380,"&lt;&gt;")</f>
        <v>0</v>
      </c>
      <c r="E6" s="8" t="n">
        <f aca="false">COUNTIFS('Test cases'!$G$2:$G$380,A6,'Test cases'!$J$2:$J$380,"Pass")+COUNTIFS('Test cases'!$G$2:$G$380,A6,'Test cases'!$J$2:$J$380,"Pass with note")</f>
        <v>0</v>
      </c>
      <c r="F6" s="8" t="n">
        <f aca="false">COUNTIFS('Test cases'!$G$2:$G$380,A6,'Test cases'!$J$2:$J$380,"Fail")</f>
        <v>0</v>
      </c>
      <c r="G6" s="8" t="n">
        <f aca="false">COUNTIFS('Test cases'!$G$2:$G$380,A6,'Test cases'!$J$2:$J$380,"Blocked")</f>
        <v>0</v>
      </c>
      <c r="H6" s="8" t="n">
        <f aca="false">COUNTIFS('Test cases'!$G$2:$G$380,A6,'Test cases'!$J$2:$J$380,"Not run")</f>
        <v>0</v>
      </c>
      <c r="I6" s="8" t="n">
        <f aca="false">COUNTIF(Bugs!$B$5:$B$303,B6)</f>
        <v>0</v>
      </c>
      <c r="J6" s="14"/>
      <c r="K6" s="14"/>
      <c r="L6" s="14"/>
      <c r="M6" s="14"/>
      <c r="N6" s="14"/>
      <c r="O6" s="14"/>
      <c r="P6" s="14"/>
      <c r="Q6" s="14"/>
    </row>
    <row r="7" customFormat="false" ht="15" hidden="false" customHeight="false" outlineLevel="0" collapsed="false">
      <c r="A7" s="8" t="n">
        <v>4</v>
      </c>
      <c r="B7" s="13" t="n">
        <v>46331</v>
      </c>
      <c r="C7" s="8" t="n">
        <f aca="false">COUNTIF('Test cases'!$G$2:$G$380,A7)</f>
        <v>16</v>
      </c>
      <c r="D7" s="8" t="n">
        <f aca="false">COUNTIFS('Test cases'!$G$2:$G$380,A7,'Test cases'!$J$2:$J$380,"&lt;&gt;")</f>
        <v>0</v>
      </c>
      <c r="E7" s="8" t="n">
        <f aca="false">COUNTIFS('Test cases'!$G$2:$G$380,A7,'Test cases'!$J$2:$J$380,"Pass")+COUNTIFS('Test cases'!$G$2:$G$380,A7,'Test cases'!$J$2:$J$380,"Pass with note")</f>
        <v>0</v>
      </c>
      <c r="F7" s="8" t="n">
        <f aca="false">COUNTIFS('Test cases'!$G$2:$G$380,A7,'Test cases'!$J$2:$J$380,"Fail")</f>
        <v>0</v>
      </c>
      <c r="G7" s="8" t="n">
        <f aca="false">COUNTIFS('Test cases'!$G$2:$G$380,A7,'Test cases'!$J$2:$J$380,"Blocked")</f>
        <v>0</v>
      </c>
      <c r="H7" s="8" t="n">
        <f aca="false">COUNTIFS('Test cases'!$G$2:$G$380,A7,'Test cases'!$J$2:$J$380,"Not run")</f>
        <v>0</v>
      </c>
      <c r="I7" s="8" t="n">
        <f aca="false">COUNTIF(Bugs!$B$5:$B$303,B7)</f>
        <v>0</v>
      </c>
      <c r="J7" s="14"/>
      <c r="K7" s="14"/>
      <c r="L7" s="14"/>
      <c r="M7" s="14"/>
      <c r="N7" s="14"/>
      <c r="O7" s="14"/>
      <c r="P7" s="14"/>
      <c r="Q7" s="14"/>
    </row>
    <row r="8" customFormat="false" ht="15" hidden="false" customHeight="false" outlineLevel="0" collapsed="false">
      <c r="A8" s="8" t="n">
        <v>5</v>
      </c>
      <c r="B8" s="13" t="n">
        <v>46332</v>
      </c>
      <c r="C8" s="8" t="n">
        <f aca="false">COUNTIF('Test cases'!$G$2:$G$380,A8)</f>
        <v>19</v>
      </c>
      <c r="D8" s="8" t="n">
        <f aca="false">COUNTIFS('Test cases'!$G$2:$G$380,A8,'Test cases'!$J$2:$J$380,"&lt;&gt;")</f>
        <v>0</v>
      </c>
      <c r="E8" s="8" t="n">
        <f aca="false">COUNTIFS('Test cases'!$G$2:$G$380,A8,'Test cases'!$J$2:$J$380,"Pass")+COUNTIFS('Test cases'!$G$2:$G$380,A8,'Test cases'!$J$2:$J$380,"Pass with note")</f>
        <v>0</v>
      </c>
      <c r="F8" s="8" t="n">
        <f aca="false">COUNTIFS('Test cases'!$G$2:$G$380,A8,'Test cases'!$J$2:$J$380,"Fail")</f>
        <v>0</v>
      </c>
      <c r="G8" s="8" t="n">
        <f aca="false">COUNTIFS('Test cases'!$G$2:$G$380,A8,'Test cases'!$J$2:$J$380,"Blocked")</f>
        <v>0</v>
      </c>
      <c r="H8" s="8" t="n">
        <f aca="false">COUNTIFS('Test cases'!$G$2:$G$380,A8,'Test cases'!$J$2:$J$380,"Not run")</f>
        <v>0</v>
      </c>
      <c r="I8" s="8" t="n">
        <f aca="false">COUNTIF(Bugs!$B$5:$B$303,B8)</f>
        <v>0</v>
      </c>
      <c r="J8" s="14"/>
      <c r="K8" s="14"/>
      <c r="L8" s="14"/>
      <c r="M8" s="14"/>
      <c r="N8" s="14"/>
      <c r="O8" s="14"/>
      <c r="P8" s="14"/>
      <c r="Q8" s="14"/>
    </row>
    <row r="9" customFormat="false" ht="15" hidden="false" customHeight="false" outlineLevel="0" collapsed="false">
      <c r="A9" s="8" t="n">
        <v>6</v>
      </c>
      <c r="B9" s="13" t="n">
        <v>46335</v>
      </c>
      <c r="C9" s="8" t="n">
        <f aca="false">COUNTIF('Test cases'!$G$2:$G$380,A9)</f>
        <v>26</v>
      </c>
      <c r="D9" s="8" t="n">
        <f aca="false">COUNTIFS('Test cases'!$G$2:$G$380,A9,'Test cases'!$J$2:$J$380,"&lt;&gt;")</f>
        <v>0</v>
      </c>
      <c r="E9" s="8" t="n">
        <f aca="false">COUNTIFS('Test cases'!$G$2:$G$380,A9,'Test cases'!$J$2:$J$380,"Pass")+COUNTIFS('Test cases'!$G$2:$G$380,A9,'Test cases'!$J$2:$J$380,"Pass with note")</f>
        <v>0</v>
      </c>
      <c r="F9" s="8" t="n">
        <f aca="false">COUNTIFS('Test cases'!$G$2:$G$380,A9,'Test cases'!$J$2:$J$380,"Fail")</f>
        <v>0</v>
      </c>
      <c r="G9" s="8" t="n">
        <f aca="false">COUNTIFS('Test cases'!$G$2:$G$380,A9,'Test cases'!$J$2:$J$380,"Blocked")</f>
        <v>0</v>
      </c>
      <c r="H9" s="8" t="n">
        <f aca="false">COUNTIFS('Test cases'!$G$2:$G$380,A9,'Test cases'!$J$2:$J$380,"Not run")</f>
        <v>0</v>
      </c>
      <c r="I9" s="8" t="n">
        <f aca="false">COUNTIF(Bugs!$B$5:$B$303,B9)</f>
        <v>0</v>
      </c>
      <c r="J9" s="14"/>
      <c r="K9" s="14"/>
      <c r="L9" s="14"/>
      <c r="M9" s="14"/>
      <c r="N9" s="14"/>
      <c r="O9" s="14"/>
      <c r="P9" s="14"/>
      <c r="Q9" s="14"/>
    </row>
    <row r="10" customFormat="false" ht="15" hidden="false" customHeight="false" outlineLevel="0" collapsed="false">
      <c r="A10" s="8" t="n">
        <v>7</v>
      </c>
      <c r="B10" s="13" t="n">
        <v>46336</v>
      </c>
      <c r="C10" s="8" t="n">
        <f aca="false">COUNTIF('Test cases'!$G$2:$G$380,A10)</f>
        <v>26</v>
      </c>
      <c r="D10" s="8" t="n">
        <f aca="false">COUNTIFS('Test cases'!$G$2:$G$380,A10,'Test cases'!$J$2:$J$380,"&lt;&gt;")</f>
        <v>0</v>
      </c>
      <c r="E10" s="8" t="n">
        <f aca="false">COUNTIFS('Test cases'!$G$2:$G$380,A10,'Test cases'!$J$2:$J$380,"Pass")+COUNTIFS('Test cases'!$G$2:$G$380,A10,'Test cases'!$J$2:$J$380,"Pass with note")</f>
        <v>0</v>
      </c>
      <c r="F10" s="8" t="n">
        <f aca="false">COUNTIFS('Test cases'!$G$2:$G$380,A10,'Test cases'!$J$2:$J$380,"Fail")</f>
        <v>0</v>
      </c>
      <c r="G10" s="8" t="n">
        <f aca="false">COUNTIFS('Test cases'!$G$2:$G$380,A10,'Test cases'!$J$2:$J$380,"Blocked")</f>
        <v>0</v>
      </c>
      <c r="H10" s="8" t="n">
        <f aca="false">COUNTIFS('Test cases'!$G$2:$G$380,A10,'Test cases'!$J$2:$J$380,"Not run")</f>
        <v>0</v>
      </c>
      <c r="I10" s="8" t="n">
        <f aca="false">COUNTIF(Bugs!$B$5:$B$303,B10)</f>
        <v>0</v>
      </c>
      <c r="J10" s="14"/>
      <c r="K10" s="14"/>
      <c r="L10" s="14"/>
      <c r="M10" s="14"/>
      <c r="N10" s="14"/>
      <c r="O10" s="14"/>
      <c r="P10" s="14"/>
      <c r="Q10" s="14"/>
    </row>
    <row r="11" customFormat="false" ht="15" hidden="false" customHeight="false" outlineLevel="0" collapsed="false">
      <c r="A11" s="8" t="n">
        <v>8</v>
      </c>
      <c r="B11" s="13" t="n">
        <v>46337</v>
      </c>
      <c r="C11" s="8" t="n">
        <f aca="false">COUNTIF('Test cases'!$G$2:$G$380,A11)</f>
        <v>26</v>
      </c>
      <c r="D11" s="8" t="n">
        <f aca="false">COUNTIFS('Test cases'!$G$2:$G$380,A11,'Test cases'!$J$2:$J$380,"&lt;&gt;")</f>
        <v>0</v>
      </c>
      <c r="E11" s="8" t="n">
        <f aca="false">COUNTIFS('Test cases'!$G$2:$G$380,A11,'Test cases'!$J$2:$J$380,"Pass")+COUNTIFS('Test cases'!$G$2:$G$380,A11,'Test cases'!$J$2:$J$380,"Pass with note")</f>
        <v>0</v>
      </c>
      <c r="F11" s="8" t="n">
        <f aca="false">COUNTIFS('Test cases'!$G$2:$G$380,A11,'Test cases'!$J$2:$J$380,"Fail")</f>
        <v>0</v>
      </c>
      <c r="G11" s="8" t="n">
        <f aca="false">COUNTIFS('Test cases'!$G$2:$G$380,A11,'Test cases'!$J$2:$J$380,"Blocked")</f>
        <v>0</v>
      </c>
      <c r="H11" s="8" t="n">
        <f aca="false">COUNTIFS('Test cases'!$G$2:$G$380,A11,'Test cases'!$J$2:$J$380,"Not run")</f>
        <v>0</v>
      </c>
      <c r="I11" s="8" t="n">
        <f aca="false">COUNTIF(Bugs!$B$5:$B$303,B11)</f>
        <v>0</v>
      </c>
      <c r="J11" s="14"/>
      <c r="K11" s="14"/>
      <c r="L11" s="14"/>
      <c r="M11" s="14"/>
      <c r="N11" s="14"/>
      <c r="O11" s="14"/>
      <c r="P11" s="14"/>
      <c r="Q11" s="14"/>
    </row>
    <row r="12" customFormat="false" ht="15" hidden="false" customHeight="false" outlineLevel="0" collapsed="false">
      <c r="A12" s="8" t="n">
        <v>9</v>
      </c>
      <c r="B12" s="13" t="n">
        <v>46338</v>
      </c>
      <c r="C12" s="8" t="n">
        <f aca="false">COUNTIF('Test cases'!$G$2:$G$380,A12)</f>
        <v>21</v>
      </c>
      <c r="D12" s="8" t="n">
        <f aca="false">COUNTIFS('Test cases'!$G$2:$G$380,A12,'Test cases'!$J$2:$J$380,"&lt;&gt;")</f>
        <v>0</v>
      </c>
      <c r="E12" s="8" t="n">
        <f aca="false">COUNTIFS('Test cases'!$G$2:$G$380,A12,'Test cases'!$J$2:$J$380,"Pass")+COUNTIFS('Test cases'!$G$2:$G$380,A12,'Test cases'!$J$2:$J$380,"Pass with note")</f>
        <v>0</v>
      </c>
      <c r="F12" s="8" t="n">
        <f aca="false">COUNTIFS('Test cases'!$G$2:$G$380,A12,'Test cases'!$J$2:$J$380,"Fail")</f>
        <v>0</v>
      </c>
      <c r="G12" s="8" t="n">
        <f aca="false">COUNTIFS('Test cases'!$G$2:$G$380,A12,'Test cases'!$J$2:$J$380,"Blocked")</f>
        <v>0</v>
      </c>
      <c r="H12" s="8" t="n">
        <f aca="false">COUNTIFS('Test cases'!$G$2:$G$380,A12,'Test cases'!$J$2:$J$380,"Not run")</f>
        <v>0</v>
      </c>
      <c r="I12" s="8" t="n">
        <f aca="false">COUNTIF(Bugs!$B$5:$B$303,B12)</f>
        <v>0</v>
      </c>
      <c r="J12" s="14"/>
      <c r="K12" s="14"/>
      <c r="L12" s="14"/>
      <c r="M12" s="14"/>
      <c r="N12" s="14"/>
      <c r="O12" s="14"/>
      <c r="P12" s="14"/>
      <c r="Q12" s="14"/>
    </row>
    <row r="13" customFormat="false" ht="15" hidden="false" customHeight="false" outlineLevel="0" collapsed="false">
      <c r="A13" s="8" t="n">
        <v>10</v>
      </c>
      <c r="B13" s="13" t="n">
        <v>46339</v>
      </c>
      <c r="C13" s="8" t="n">
        <f aca="false">COUNTIF('Test cases'!$G$2:$G$380,A13)</f>
        <v>16</v>
      </c>
      <c r="D13" s="8" t="n">
        <f aca="false">COUNTIFS('Test cases'!$G$2:$G$380,A13,'Test cases'!$J$2:$J$380,"&lt;&gt;")</f>
        <v>0</v>
      </c>
      <c r="E13" s="8" t="n">
        <f aca="false">COUNTIFS('Test cases'!$G$2:$G$380,A13,'Test cases'!$J$2:$J$380,"Pass")+COUNTIFS('Test cases'!$G$2:$G$380,A13,'Test cases'!$J$2:$J$380,"Pass with note")</f>
        <v>0</v>
      </c>
      <c r="F13" s="8" t="n">
        <f aca="false">COUNTIFS('Test cases'!$G$2:$G$380,A13,'Test cases'!$J$2:$J$380,"Fail")</f>
        <v>0</v>
      </c>
      <c r="G13" s="8" t="n">
        <f aca="false">COUNTIFS('Test cases'!$G$2:$G$380,A13,'Test cases'!$J$2:$J$380,"Blocked")</f>
        <v>0</v>
      </c>
      <c r="H13" s="8" t="n">
        <f aca="false">COUNTIFS('Test cases'!$G$2:$G$380,A13,'Test cases'!$J$2:$J$380,"Not run")</f>
        <v>0</v>
      </c>
      <c r="I13" s="8" t="n">
        <f aca="false">COUNTIF(Bugs!$B$5:$B$303,B13)</f>
        <v>0</v>
      </c>
      <c r="J13" s="14"/>
      <c r="K13" s="14"/>
      <c r="L13" s="14"/>
      <c r="M13" s="14"/>
      <c r="N13" s="14"/>
      <c r="O13" s="14"/>
      <c r="P13" s="14"/>
      <c r="Q13" s="14"/>
    </row>
    <row r="14" customFormat="false" ht="15" hidden="false" customHeight="false" outlineLevel="0" collapsed="false">
      <c r="A14" s="8" t="n">
        <v>11</v>
      </c>
      <c r="B14" s="13" t="n">
        <v>46342</v>
      </c>
      <c r="C14" s="8" t="n">
        <f aca="false">COUNTIF('Test cases'!$G$2:$G$380,A14)</f>
        <v>19</v>
      </c>
      <c r="D14" s="8" t="n">
        <f aca="false">COUNTIFS('Test cases'!$G$2:$G$380,A14,'Test cases'!$J$2:$J$380,"&lt;&gt;")</f>
        <v>0</v>
      </c>
      <c r="E14" s="8" t="n">
        <f aca="false">COUNTIFS('Test cases'!$G$2:$G$380,A14,'Test cases'!$J$2:$J$380,"Pass")+COUNTIFS('Test cases'!$G$2:$G$380,A14,'Test cases'!$J$2:$J$380,"Pass with note")</f>
        <v>0</v>
      </c>
      <c r="F14" s="8" t="n">
        <f aca="false">COUNTIFS('Test cases'!$G$2:$G$380,A14,'Test cases'!$J$2:$J$380,"Fail")</f>
        <v>0</v>
      </c>
      <c r="G14" s="8" t="n">
        <f aca="false">COUNTIFS('Test cases'!$G$2:$G$380,A14,'Test cases'!$J$2:$J$380,"Blocked")</f>
        <v>0</v>
      </c>
      <c r="H14" s="8" t="n">
        <f aca="false">COUNTIFS('Test cases'!$G$2:$G$380,A14,'Test cases'!$J$2:$J$380,"Not run")</f>
        <v>0</v>
      </c>
      <c r="I14" s="8" t="n">
        <f aca="false">COUNTIF(Bugs!$B$5:$B$303,B14)</f>
        <v>0</v>
      </c>
      <c r="J14" s="14"/>
      <c r="K14" s="14"/>
      <c r="L14" s="14"/>
      <c r="M14" s="14"/>
      <c r="N14" s="14"/>
      <c r="O14" s="14"/>
      <c r="P14" s="14"/>
      <c r="Q14" s="14"/>
    </row>
    <row r="15" customFormat="false" ht="15" hidden="false" customHeight="false" outlineLevel="0" collapsed="false">
      <c r="A15" s="8" t="n">
        <v>12</v>
      </c>
      <c r="B15" s="13" t="n">
        <v>46343</v>
      </c>
      <c r="C15" s="8" t="n">
        <f aca="false">COUNTIF('Test cases'!$G$2:$G$380,A15)</f>
        <v>25</v>
      </c>
      <c r="D15" s="8" t="n">
        <f aca="false">COUNTIFS('Test cases'!$G$2:$G$380,A15,'Test cases'!$J$2:$J$380,"&lt;&gt;")</f>
        <v>0</v>
      </c>
      <c r="E15" s="8" t="n">
        <f aca="false">COUNTIFS('Test cases'!$G$2:$G$380,A15,'Test cases'!$J$2:$J$380,"Pass")+COUNTIFS('Test cases'!$G$2:$G$380,A15,'Test cases'!$J$2:$J$380,"Pass with note")</f>
        <v>0</v>
      </c>
      <c r="F15" s="8" t="n">
        <f aca="false">COUNTIFS('Test cases'!$G$2:$G$380,A15,'Test cases'!$J$2:$J$380,"Fail")</f>
        <v>0</v>
      </c>
      <c r="G15" s="8" t="n">
        <f aca="false">COUNTIFS('Test cases'!$G$2:$G$380,A15,'Test cases'!$J$2:$J$380,"Blocked")</f>
        <v>0</v>
      </c>
      <c r="H15" s="8" t="n">
        <f aca="false">COUNTIFS('Test cases'!$G$2:$G$380,A15,'Test cases'!$J$2:$J$380,"Not run")</f>
        <v>0</v>
      </c>
      <c r="I15" s="8" t="n">
        <f aca="false">COUNTIF(Bugs!$B$5:$B$303,B15)</f>
        <v>0</v>
      </c>
      <c r="J15" s="14"/>
      <c r="K15" s="14"/>
      <c r="L15" s="14"/>
      <c r="M15" s="14"/>
      <c r="N15" s="14"/>
      <c r="O15" s="14"/>
      <c r="P15" s="14"/>
      <c r="Q15" s="14"/>
    </row>
    <row r="16" customFormat="false" ht="15" hidden="false" customHeight="false" outlineLevel="0" collapsed="false">
      <c r="A16" s="8" t="n">
        <v>13</v>
      </c>
      <c r="B16" s="13" t="n">
        <v>46344</v>
      </c>
      <c r="C16" s="8" t="n">
        <f aca="false">COUNTIF('Test cases'!$G$2:$G$380,A16)</f>
        <v>18</v>
      </c>
      <c r="D16" s="8" t="n">
        <f aca="false">COUNTIFS('Test cases'!$G$2:$G$380,A16,'Test cases'!$J$2:$J$380,"&lt;&gt;")</f>
        <v>0</v>
      </c>
      <c r="E16" s="8" t="n">
        <f aca="false">COUNTIFS('Test cases'!$G$2:$G$380,A16,'Test cases'!$J$2:$J$380,"Pass")+COUNTIFS('Test cases'!$G$2:$G$380,A16,'Test cases'!$J$2:$J$380,"Pass with note")</f>
        <v>0</v>
      </c>
      <c r="F16" s="8" t="n">
        <f aca="false">COUNTIFS('Test cases'!$G$2:$G$380,A16,'Test cases'!$J$2:$J$380,"Fail")</f>
        <v>0</v>
      </c>
      <c r="G16" s="8" t="n">
        <f aca="false">COUNTIFS('Test cases'!$G$2:$G$380,A16,'Test cases'!$J$2:$J$380,"Blocked")</f>
        <v>0</v>
      </c>
      <c r="H16" s="8" t="n">
        <f aca="false">COUNTIFS('Test cases'!$G$2:$G$380,A16,'Test cases'!$J$2:$J$380,"Not run")</f>
        <v>0</v>
      </c>
      <c r="I16" s="8" t="n">
        <f aca="false">COUNTIF(Bugs!$B$5:$B$303,B16)</f>
        <v>0</v>
      </c>
      <c r="J16" s="14"/>
      <c r="K16" s="14"/>
      <c r="L16" s="14"/>
      <c r="M16" s="14"/>
      <c r="N16" s="14"/>
      <c r="O16" s="14"/>
      <c r="P16" s="14"/>
      <c r="Q16" s="14"/>
    </row>
    <row r="17" customFormat="false" ht="15" hidden="false" customHeight="false" outlineLevel="0" collapsed="false">
      <c r="A17" s="8" t="n">
        <v>14</v>
      </c>
      <c r="B17" s="13" t="n">
        <v>46345</v>
      </c>
      <c r="C17" s="8" t="n">
        <f aca="false">COUNTIF('Test cases'!$G$2:$G$380,A17)</f>
        <v>14</v>
      </c>
      <c r="D17" s="8" t="n">
        <f aca="false">COUNTIFS('Test cases'!$G$2:$G$380,A17,'Test cases'!$J$2:$J$380,"&lt;&gt;")</f>
        <v>0</v>
      </c>
      <c r="E17" s="8" t="n">
        <f aca="false">COUNTIFS('Test cases'!$G$2:$G$380,A17,'Test cases'!$J$2:$J$380,"Pass")+COUNTIFS('Test cases'!$G$2:$G$380,A17,'Test cases'!$J$2:$J$380,"Pass with note")</f>
        <v>0</v>
      </c>
      <c r="F17" s="8" t="n">
        <f aca="false">COUNTIFS('Test cases'!$G$2:$G$380,A17,'Test cases'!$J$2:$J$380,"Fail")</f>
        <v>0</v>
      </c>
      <c r="G17" s="8" t="n">
        <f aca="false">COUNTIFS('Test cases'!$G$2:$G$380,A17,'Test cases'!$J$2:$J$380,"Blocked")</f>
        <v>0</v>
      </c>
      <c r="H17" s="8" t="n">
        <f aca="false">COUNTIFS('Test cases'!$G$2:$G$380,A17,'Test cases'!$J$2:$J$380,"Not run")</f>
        <v>0</v>
      </c>
      <c r="I17" s="8" t="n">
        <f aca="false">COUNTIF(Bugs!$B$5:$B$303,B17)</f>
        <v>0</v>
      </c>
      <c r="J17" s="14"/>
      <c r="K17" s="14"/>
      <c r="L17" s="14"/>
      <c r="M17" s="14"/>
      <c r="N17" s="14"/>
      <c r="O17" s="14"/>
      <c r="P17" s="14"/>
      <c r="Q17" s="14"/>
    </row>
    <row r="18" customFormat="false" ht="15" hidden="false" customHeight="false" outlineLevel="0" collapsed="false">
      <c r="A18" s="8" t="n">
        <v>15</v>
      </c>
      <c r="B18" s="13" t="n">
        <v>46346</v>
      </c>
      <c r="C18" s="8" t="n">
        <f aca="false">COUNTIF('Test cases'!$G$2:$G$380,A18)</f>
        <v>7</v>
      </c>
      <c r="D18" s="8" t="n">
        <f aca="false">COUNTIFS('Test cases'!$G$2:$G$380,A18,'Test cases'!$J$2:$J$380,"&lt;&gt;")</f>
        <v>0</v>
      </c>
      <c r="E18" s="8" t="n">
        <f aca="false">COUNTIFS('Test cases'!$G$2:$G$380,A18,'Test cases'!$J$2:$J$380,"Pass")+COUNTIFS('Test cases'!$G$2:$G$380,A18,'Test cases'!$J$2:$J$380,"Pass with note")</f>
        <v>0</v>
      </c>
      <c r="F18" s="8" t="n">
        <f aca="false">COUNTIFS('Test cases'!$G$2:$G$380,A18,'Test cases'!$J$2:$J$380,"Fail")</f>
        <v>0</v>
      </c>
      <c r="G18" s="8" t="n">
        <f aca="false">COUNTIFS('Test cases'!$G$2:$G$380,A18,'Test cases'!$J$2:$J$380,"Blocked")</f>
        <v>0</v>
      </c>
      <c r="H18" s="8" t="n">
        <f aca="false">COUNTIFS('Test cases'!$G$2:$G$380,A18,'Test cases'!$J$2:$J$380,"Not run")</f>
        <v>0</v>
      </c>
      <c r="I18" s="8" t="n">
        <f aca="false">COUNTIF(Bugs!$B$5:$B$303,B18)</f>
        <v>0</v>
      </c>
      <c r="J18" s="14"/>
      <c r="K18" s="14"/>
      <c r="L18" s="14"/>
      <c r="M18" s="14"/>
      <c r="N18" s="14"/>
      <c r="O18" s="14"/>
      <c r="P18" s="14"/>
      <c r="Q18" s="14"/>
    </row>
    <row r="19" customFormat="false" ht="15" hidden="false" customHeight="false" outlineLevel="0" collapsed="false">
      <c r="A19" s="8" t="n">
        <v>16</v>
      </c>
      <c r="B19" s="13" t="n">
        <v>46349</v>
      </c>
      <c r="C19" s="8" t="n">
        <f aca="false">COUNTIF('Test cases'!$G$2:$G$380,A19)</f>
        <v>25</v>
      </c>
      <c r="D19" s="8" t="n">
        <f aca="false">COUNTIFS('Test cases'!$G$2:$G$380,A19,'Test cases'!$J$2:$J$380,"&lt;&gt;")</f>
        <v>0</v>
      </c>
      <c r="E19" s="8" t="n">
        <f aca="false">COUNTIFS('Test cases'!$G$2:$G$380,A19,'Test cases'!$J$2:$J$380,"Pass")+COUNTIFS('Test cases'!$G$2:$G$380,A19,'Test cases'!$J$2:$J$380,"Pass with note")</f>
        <v>0</v>
      </c>
      <c r="F19" s="8" t="n">
        <f aca="false">COUNTIFS('Test cases'!$G$2:$G$380,A19,'Test cases'!$J$2:$J$380,"Fail")</f>
        <v>0</v>
      </c>
      <c r="G19" s="8" t="n">
        <f aca="false">COUNTIFS('Test cases'!$G$2:$G$380,A19,'Test cases'!$J$2:$J$380,"Blocked")</f>
        <v>0</v>
      </c>
      <c r="H19" s="8" t="n">
        <f aca="false">COUNTIFS('Test cases'!$G$2:$G$380,A19,'Test cases'!$J$2:$J$380,"Not run")</f>
        <v>0</v>
      </c>
      <c r="I19" s="8" t="n">
        <f aca="false">COUNTIF(Bugs!$B$5:$B$303,B19)</f>
        <v>0</v>
      </c>
      <c r="J19" s="14"/>
      <c r="K19" s="14"/>
      <c r="L19" s="14"/>
      <c r="M19" s="14"/>
      <c r="N19" s="14"/>
      <c r="O19" s="14"/>
      <c r="P19" s="14"/>
      <c r="Q19" s="14"/>
    </row>
    <row r="20" customFormat="false" ht="15" hidden="false" customHeight="false" outlineLevel="0" collapsed="false">
      <c r="A20" s="8" t="n">
        <v>17</v>
      </c>
      <c r="B20" s="13" t="n">
        <v>46350</v>
      </c>
      <c r="C20" s="8" t="n">
        <f aca="false">COUNTIF('Test cases'!$G$2:$G$380,A20)</f>
        <v>26</v>
      </c>
      <c r="D20" s="8" t="n">
        <f aca="false">COUNTIFS('Test cases'!$G$2:$G$380,A20,'Test cases'!$J$2:$J$380,"&lt;&gt;")</f>
        <v>0</v>
      </c>
      <c r="E20" s="8" t="n">
        <f aca="false">COUNTIFS('Test cases'!$G$2:$G$380,A20,'Test cases'!$J$2:$J$380,"Pass")+COUNTIFS('Test cases'!$G$2:$G$380,A20,'Test cases'!$J$2:$J$380,"Pass with note")</f>
        <v>0</v>
      </c>
      <c r="F20" s="8" t="n">
        <f aca="false">COUNTIFS('Test cases'!$G$2:$G$380,A20,'Test cases'!$J$2:$J$380,"Fail")</f>
        <v>0</v>
      </c>
      <c r="G20" s="8" t="n">
        <f aca="false">COUNTIFS('Test cases'!$G$2:$G$380,A20,'Test cases'!$J$2:$J$380,"Blocked")</f>
        <v>0</v>
      </c>
      <c r="H20" s="8" t="n">
        <f aca="false">COUNTIFS('Test cases'!$G$2:$G$380,A20,'Test cases'!$J$2:$J$380,"Not run")</f>
        <v>0</v>
      </c>
      <c r="I20" s="8" t="n">
        <f aca="false">COUNTIF(Bugs!$B$5:$B$303,B20)</f>
        <v>0</v>
      </c>
      <c r="J20" s="14"/>
      <c r="K20" s="14"/>
      <c r="L20" s="14"/>
      <c r="M20" s="14"/>
      <c r="N20" s="14"/>
      <c r="O20" s="14"/>
      <c r="P20" s="14"/>
      <c r="Q20" s="14"/>
    </row>
    <row r="21" customFormat="false" ht="15" hidden="false" customHeight="false" outlineLevel="0" collapsed="false">
      <c r="A21" s="8" t="n">
        <v>18</v>
      </c>
      <c r="B21" s="13" t="n">
        <v>46351</v>
      </c>
      <c r="C21" s="8" t="n">
        <f aca="false">COUNTIF('Test cases'!$G$2:$G$380,A21)</f>
        <v>22</v>
      </c>
      <c r="D21" s="8" t="n">
        <f aca="false">COUNTIFS('Test cases'!$G$2:$G$380,A21,'Test cases'!$J$2:$J$380,"&lt;&gt;")</f>
        <v>0</v>
      </c>
      <c r="E21" s="8" t="n">
        <f aca="false">COUNTIFS('Test cases'!$G$2:$G$380,A21,'Test cases'!$J$2:$J$380,"Pass")+COUNTIFS('Test cases'!$G$2:$G$380,A21,'Test cases'!$J$2:$J$380,"Pass with note")</f>
        <v>0</v>
      </c>
      <c r="F21" s="8" t="n">
        <f aca="false">COUNTIFS('Test cases'!$G$2:$G$380,A21,'Test cases'!$J$2:$J$380,"Fail")</f>
        <v>0</v>
      </c>
      <c r="G21" s="8" t="n">
        <f aca="false">COUNTIFS('Test cases'!$G$2:$G$380,A21,'Test cases'!$J$2:$J$380,"Blocked")</f>
        <v>0</v>
      </c>
      <c r="H21" s="8" t="n">
        <f aca="false">COUNTIFS('Test cases'!$G$2:$G$380,A21,'Test cases'!$J$2:$J$380,"Not run")</f>
        <v>0</v>
      </c>
      <c r="I21" s="8" t="n">
        <f aca="false">COUNTIF(Bugs!$B$5:$B$303,B21)</f>
        <v>0</v>
      </c>
      <c r="J21" s="14"/>
      <c r="K21" s="14"/>
      <c r="L21" s="14"/>
      <c r="M21" s="14"/>
      <c r="N21" s="14"/>
      <c r="O21" s="14"/>
      <c r="P21" s="14"/>
      <c r="Q21" s="14"/>
    </row>
    <row r="22" customFormat="false" ht="15" hidden="false" customHeight="false" outlineLevel="0" collapsed="false">
      <c r="A22" s="8" t="n">
        <v>19</v>
      </c>
      <c r="B22" s="13" t="n">
        <v>46352</v>
      </c>
      <c r="C22" s="8" t="n">
        <f aca="false">COUNTIF('Test cases'!$G$2:$G$380,A22)</f>
        <v>23</v>
      </c>
      <c r="D22" s="8" t="n">
        <f aca="false">COUNTIFS('Test cases'!$G$2:$G$380,A22,'Test cases'!$J$2:$J$380,"&lt;&gt;")</f>
        <v>0</v>
      </c>
      <c r="E22" s="8" t="n">
        <f aca="false">COUNTIFS('Test cases'!$G$2:$G$380,A22,'Test cases'!$J$2:$J$380,"Pass")+COUNTIFS('Test cases'!$G$2:$G$380,A22,'Test cases'!$J$2:$J$380,"Pass with note")</f>
        <v>0</v>
      </c>
      <c r="F22" s="8" t="n">
        <f aca="false">COUNTIFS('Test cases'!$G$2:$G$380,A22,'Test cases'!$J$2:$J$380,"Fail")</f>
        <v>0</v>
      </c>
      <c r="G22" s="8" t="n">
        <f aca="false">COUNTIFS('Test cases'!$G$2:$G$380,A22,'Test cases'!$J$2:$J$380,"Blocked")</f>
        <v>0</v>
      </c>
      <c r="H22" s="8" t="n">
        <f aca="false">COUNTIFS('Test cases'!$G$2:$G$380,A22,'Test cases'!$J$2:$J$380,"Not run")</f>
        <v>0</v>
      </c>
      <c r="I22" s="8" t="n">
        <f aca="false">COUNTIF(Bugs!$B$5:$B$303,B22)</f>
        <v>0</v>
      </c>
      <c r="J22" s="14"/>
      <c r="K22" s="14"/>
      <c r="L22" s="14"/>
      <c r="M22" s="14"/>
      <c r="N22" s="14"/>
      <c r="O22" s="14"/>
      <c r="P22" s="14"/>
      <c r="Q22" s="14"/>
    </row>
    <row r="23" customFormat="false" ht="15" hidden="false" customHeight="false" outlineLevel="0" collapsed="false">
      <c r="A23" s="8" t="n">
        <v>20</v>
      </c>
      <c r="B23" s="13" t="n">
        <v>46353</v>
      </c>
      <c r="C23" s="8" t="n">
        <f aca="false">COUNTIF('Test cases'!$G$2:$G$380,A23)</f>
        <v>7</v>
      </c>
      <c r="D23" s="8" t="n">
        <f aca="false">COUNTIFS('Test cases'!$G$2:$G$380,A23,'Test cases'!$J$2:$J$380,"&lt;&gt;")</f>
        <v>0</v>
      </c>
      <c r="E23" s="8" t="n">
        <f aca="false">COUNTIFS('Test cases'!$G$2:$G$380,A23,'Test cases'!$J$2:$J$380,"Pass")+COUNTIFS('Test cases'!$G$2:$G$380,A23,'Test cases'!$J$2:$J$380,"Pass with note")</f>
        <v>0</v>
      </c>
      <c r="F23" s="8" t="n">
        <f aca="false">COUNTIFS('Test cases'!$G$2:$G$380,A23,'Test cases'!$J$2:$J$380,"Fail")</f>
        <v>0</v>
      </c>
      <c r="G23" s="8" t="n">
        <f aca="false">COUNTIFS('Test cases'!$G$2:$G$380,A23,'Test cases'!$J$2:$J$380,"Blocked")</f>
        <v>0</v>
      </c>
      <c r="H23" s="8" t="n">
        <f aca="false">COUNTIFS('Test cases'!$G$2:$G$380,A23,'Test cases'!$J$2:$J$380,"Not run")</f>
        <v>0</v>
      </c>
      <c r="I23" s="8" t="n">
        <f aca="false">COUNTIF(Bugs!$B$5:$B$303,B23)</f>
        <v>0</v>
      </c>
      <c r="J23" s="14"/>
      <c r="K23" s="14"/>
      <c r="L23" s="14"/>
      <c r="M23" s="14"/>
      <c r="N23" s="14"/>
      <c r="O23" s="14"/>
      <c r="P23" s="14"/>
      <c r="Q23" s="14"/>
    </row>
  </sheetData>
  <dataValidations count="1">
    <dataValidation allowBlank="true" errorStyle="stop" operator="between" showDropDown="false" showErrorMessage="false" showInputMessage="false" sqref="Q4:Q23" type="list">
      <formula1>Lists!$G$1:$G$2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
    <col collapsed="false" customWidth="true" hidden="false" outlineLevel="0" max="3" min="3" style="0" width="11"/>
    <col collapsed="false" customWidth="true" hidden="false" outlineLevel="0" max="4" min="4" style="0" width="50"/>
    <col collapsed="false" customWidth="true" hidden="false" outlineLevel="0" max="5" min="5" style="0" width="9"/>
    <col collapsed="false" customWidth="true" hidden="false" outlineLevel="0" max="6" min="6" style="0" width="50"/>
    <col collapsed="false" customWidth="true" hidden="false" outlineLevel="0" max="7" min="7" style="0" width="14"/>
    <col collapsed="false" customWidth="true" hidden="false" outlineLevel="0" max="8" min="8" style="0" width="36"/>
  </cols>
  <sheetData>
    <row r="1" customFormat="false" ht="19.7" hidden="false" customHeight="false" outlineLevel="0" collapsed="false">
      <c r="A1" s="1" t="s">
        <v>1591</v>
      </c>
    </row>
    <row r="2" customFormat="false" ht="15" hidden="false" customHeight="false" outlineLevel="0" collapsed="false">
      <c r="A2" s="2" t="s">
        <v>1592</v>
      </c>
    </row>
    <row r="3" customFormat="false" ht="30" hidden="false" customHeight="true" outlineLevel="0" collapsed="false">
      <c r="A3" s="7" t="s">
        <v>1593</v>
      </c>
      <c r="B3" s="7" t="s">
        <v>100</v>
      </c>
      <c r="C3" s="7" t="s">
        <v>71</v>
      </c>
      <c r="D3" s="7" t="s">
        <v>1594</v>
      </c>
      <c r="E3" s="7" t="s">
        <v>1595</v>
      </c>
      <c r="F3" s="7" t="s">
        <v>1596</v>
      </c>
      <c r="G3" s="7" t="s">
        <v>1597</v>
      </c>
      <c r="H3" s="7" t="s">
        <v>1598</v>
      </c>
    </row>
    <row r="4" customFormat="false" ht="35.05" hidden="false" customHeight="false" outlineLevel="0" collapsed="false">
      <c r="A4" s="8" t="n">
        <v>1</v>
      </c>
      <c r="B4" s="8" t="n">
        <v>5</v>
      </c>
      <c r="C4" s="13" t="n">
        <v>46332</v>
      </c>
      <c r="D4" s="8" t="s">
        <v>1599</v>
      </c>
      <c r="E4" s="14"/>
      <c r="F4" s="14"/>
      <c r="G4" s="14"/>
      <c r="H4" s="14"/>
    </row>
    <row r="5" customFormat="false" ht="35.05" hidden="false" customHeight="false" outlineLevel="0" collapsed="false">
      <c r="A5" s="8" t="n">
        <v>2</v>
      </c>
      <c r="B5" s="8" t="n">
        <v>10</v>
      </c>
      <c r="C5" s="13" t="n">
        <v>46339</v>
      </c>
      <c r="D5" s="8" t="s">
        <v>1600</v>
      </c>
      <c r="E5" s="14"/>
      <c r="F5" s="14"/>
      <c r="G5" s="14"/>
      <c r="H5" s="14"/>
    </row>
    <row r="6" customFormat="false" ht="35.05" hidden="false" customHeight="false" outlineLevel="0" collapsed="false">
      <c r="A6" s="8" t="n">
        <v>3</v>
      </c>
      <c r="B6" s="8" t="n">
        <v>15</v>
      </c>
      <c r="C6" s="13" t="n">
        <v>46346</v>
      </c>
      <c r="D6" s="8" t="s">
        <v>1601</v>
      </c>
      <c r="E6" s="14"/>
      <c r="F6" s="14"/>
      <c r="G6" s="14"/>
      <c r="H6" s="14"/>
    </row>
    <row r="7" customFormat="false" ht="35.05" hidden="false" customHeight="false" outlineLevel="0" collapsed="false">
      <c r="A7" s="8" t="n">
        <v>4</v>
      </c>
      <c r="B7" s="8" t="n">
        <v>19</v>
      </c>
      <c r="C7" s="13" t="n">
        <v>46352</v>
      </c>
      <c r="D7" s="8" t="s">
        <v>1602</v>
      </c>
      <c r="E7" s="14"/>
      <c r="F7" s="14"/>
      <c r="G7" s="14"/>
      <c r="H7" s="14"/>
    </row>
    <row r="8" customFormat="false" ht="23.85" hidden="false" customHeight="false" outlineLevel="0" collapsed="false">
      <c r="A8" s="8" t="n">
        <v>5</v>
      </c>
      <c r="B8" s="8" t="n">
        <v>20</v>
      </c>
      <c r="C8" s="13" t="n">
        <v>46353</v>
      </c>
      <c r="D8" s="8" t="s">
        <v>1603</v>
      </c>
      <c r="E8" s="14"/>
      <c r="F8" s="14"/>
      <c r="G8" s="14"/>
      <c r="H8" s="14"/>
    </row>
    <row r="9" customFormat="false" ht="15" hidden="false" customHeight="false" outlineLevel="0" collapsed="false">
      <c r="A9" s="8"/>
      <c r="B9" s="8"/>
      <c r="C9" s="8"/>
      <c r="D9" s="8"/>
      <c r="E9" s="14"/>
      <c r="F9" s="14"/>
      <c r="G9" s="14"/>
      <c r="H9" s="14"/>
    </row>
    <row r="10" customFormat="false" ht="15" hidden="false" customHeight="false" outlineLevel="0" collapsed="false">
      <c r="A10" s="8"/>
      <c r="B10" s="8"/>
      <c r="C10" s="8"/>
      <c r="D10" s="8"/>
      <c r="E10" s="14"/>
      <c r="F10" s="14"/>
      <c r="G10" s="14"/>
      <c r="H10" s="14"/>
    </row>
    <row r="11" customFormat="false" ht="15" hidden="false" customHeight="false" outlineLevel="0" collapsed="false">
      <c r="A11" s="8"/>
      <c r="B11" s="8"/>
      <c r="C11" s="8"/>
      <c r="D11" s="8"/>
      <c r="E11" s="14"/>
      <c r="F11" s="14"/>
      <c r="G11" s="14"/>
      <c r="H11" s="14"/>
    </row>
    <row r="12" customFormat="false" ht="15" hidden="false" customHeight="false" outlineLevel="0" collapsed="false">
      <c r="A12" s="8"/>
      <c r="B12" s="8"/>
      <c r="C12" s="8"/>
      <c r="D12" s="8"/>
      <c r="E12" s="14"/>
      <c r="F12" s="14"/>
      <c r="G12" s="14"/>
      <c r="H12" s="14"/>
    </row>
    <row r="13" customFormat="false" ht="15" hidden="false" customHeight="false" outlineLevel="0" collapsed="false">
      <c r="A13" s="8"/>
      <c r="B13" s="8"/>
      <c r="C13" s="8"/>
      <c r="D13" s="8"/>
      <c r="E13" s="14"/>
      <c r="F13" s="14"/>
      <c r="G13" s="14"/>
      <c r="H1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2"/>
    <col collapsed="false" customWidth="true" hidden="false" outlineLevel="0" max="4" min="4" style="0" width="12"/>
    <col collapsed="false" customWidth="true" hidden="false" outlineLevel="0" max="5" min="5" style="0" width="30"/>
    <col collapsed="false" customWidth="true" hidden="false" outlineLevel="0" max="6" min="6" style="0" width="10"/>
    <col collapsed="false" customWidth="true" hidden="false" outlineLevel="0" max="7" min="7" style="0" width="30"/>
  </cols>
  <sheetData>
    <row r="1" customFormat="false" ht="19.7" hidden="false" customHeight="false" outlineLevel="0" collapsed="false">
      <c r="A1" s="1" t="s">
        <v>1604</v>
      </c>
    </row>
    <row r="2" customFormat="false" ht="15" hidden="false" customHeight="false" outlineLevel="0" collapsed="false">
      <c r="A2" s="2" t="s">
        <v>1605</v>
      </c>
    </row>
    <row r="3" customFormat="false" ht="30" hidden="false" customHeight="true" outlineLevel="0" collapsed="false">
      <c r="A3" s="7" t="s">
        <v>1606</v>
      </c>
      <c r="B3" s="7" t="s">
        <v>1607</v>
      </c>
      <c r="C3" s="7" t="s">
        <v>139</v>
      </c>
      <c r="D3" s="7" t="s">
        <v>1608</v>
      </c>
      <c r="E3" s="7" t="s">
        <v>1609</v>
      </c>
      <c r="F3" s="7" t="s">
        <v>1610</v>
      </c>
      <c r="G3" s="7" t="s">
        <v>107</v>
      </c>
    </row>
    <row r="4" customFormat="false" ht="15" hidden="false" customHeight="false" outlineLevel="0" collapsed="false">
      <c r="A4" s="8" t="s">
        <v>1611</v>
      </c>
      <c r="B4" s="8" t="s">
        <v>1612</v>
      </c>
      <c r="C4" s="14"/>
      <c r="D4" s="14"/>
      <c r="E4" s="14"/>
      <c r="F4" s="14"/>
      <c r="G4" s="14"/>
    </row>
    <row r="5" customFormat="false" ht="15" hidden="false" customHeight="false" outlineLevel="0" collapsed="false">
      <c r="A5" s="8" t="s">
        <v>1613</v>
      </c>
      <c r="B5" s="8" t="s">
        <v>1612</v>
      </c>
      <c r="C5" s="14"/>
      <c r="D5" s="14"/>
      <c r="E5" s="14"/>
      <c r="F5" s="14"/>
      <c r="G5" s="14"/>
    </row>
    <row r="6" customFormat="false" ht="15" hidden="false" customHeight="false" outlineLevel="0" collapsed="false">
      <c r="A6" s="8" t="s">
        <v>1614</v>
      </c>
      <c r="B6" s="8" t="s">
        <v>1614</v>
      </c>
      <c r="C6" s="14"/>
      <c r="D6" s="14"/>
      <c r="E6" s="14"/>
      <c r="F6" s="14"/>
      <c r="G6" s="14"/>
    </row>
    <row r="7" customFormat="false" ht="15" hidden="false" customHeight="false" outlineLevel="0" collapsed="false">
      <c r="A7" s="8" t="s">
        <v>1074</v>
      </c>
      <c r="B7" s="8" t="s">
        <v>1074</v>
      </c>
      <c r="C7" s="14"/>
      <c r="D7" s="14"/>
      <c r="E7" s="14"/>
      <c r="F7" s="14"/>
      <c r="G7" s="14"/>
    </row>
    <row r="8" customFormat="false" ht="15" hidden="false" customHeight="false" outlineLevel="0" collapsed="false">
      <c r="A8" s="8" t="s">
        <v>1615</v>
      </c>
      <c r="B8" s="8" t="s">
        <v>1143</v>
      </c>
      <c r="C8" s="14"/>
      <c r="D8" s="14"/>
      <c r="E8" s="14"/>
      <c r="F8" s="14"/>
      <c r="G8" s="14"/>
    </row>
    <row r="9" customFormat="false" ht="15" hidden="false" customHeight="false" outlineLevel="0" collapsed="false">
      <c r="A9" s="8" t="s">
        <v>1616</v>
      </c>
      <c r="B9" s="8" t="s">
        <v>1617</v>
      </c>
      <c r="C9" s="14"/>
      <c r="D9" s="14"/>
      <c r="E9" s="14"/>
      <c r="F9" s="14"/>
      <c r="G9" s="14"/>
    </row>
    <row r="10" customFormat="false" ht="15" hidden="false" customHeight="false" outlineLevel="0" collapsed="false">
      <c r="A10" s="8" t="s">
        <v>1618</v>
      </c>
      <c r="B10" s="8" t="s">
        <v>1618</v>
      </c>
      <c r="C10" s="14"/>
      <c r="D10" s="14"/>
      <c r="E10" s="14"/>
      <c r="F10" s="14"/>
      <c r="G10" s="14"/>
    </row>
    <row r="11" customFormat="false" ht="15" hidden="false" customHeight="false" outlineLevel="0" collapsed="false">
      <c r="A11" s="8" t="s">
        <v>1619</v>
      </c>
      <c r="B11" s="8" t="s">
        <v>1620</v>
      </c>
      <c r="C11" s="14"/>
      <c r="D11" s="14"/>
      <c r="E11" s="14"/>
      <c r="F11" s="14"/>
      <c r="G11" s="14"/>
    </row>
    <row r="12" customFormat="false" ht="15" hidden="false" customHeight="false" outlineLevel="0" collapsed="false">
      <c r="A12" s="8" t="s">
        <v>1621</v>
      </c>
      <c r="B12" s="8" t="s">
        <v>1620</v>
      </c>
      <c r="C12" s="14"/>
      <c r="D12" s="14"/>
      <c r="E12" s="14"/>
      <c r="F12" s="14"/>
      <c r="G12" s="14"/>
    </row>
    <row r="13" customFormat="false" ht="15" hidden="false" customHeight="false" outlineLevel="0" collapsed="false">
      <c r="A13" s="8" t="s">
        <v>1622</v>
      </c>
      <c r="B13" s="8" t="s">
        <v>1620</v>
      </c>
      <c r="C13" s="14"/>
      <c r="D13" s="14"/>
      <c r="E13" s="14"/>
      <c r="F13" s="14"/>
      <c r="G13" s="14"/>
    </row>
    <row r="14" customFormat="false" ht="15" hidden="false" customHeight="false" outlineLevel="0" collapsed="false">
      <c r="A14" s="8" t="s">
        <v>1623</v>
      </c>
      <c r="B14" s="8" t="s">
        <v>1624</v>
      </c>
      <c r="C14" s="14"/>
      <c r="D14" s="14"/>
      <c r="E14" s="14"/>
      <c r="F14" s="14"/>
      <c r="G14" s="14"/>
    </row>
    <row r="15" customFormat="false" ht="15" hidden="false" customHeight="false" outlineLevel="0" collapsed="false">
      <c r="A15" s="8" t="s">
        <v>1625</v>
      </c>
      <c r="B15" s="8" t="s">
        <v>1626</v>
      </c>
      <c r="C15" s="14"/>
      <c r="D15" s="14"/>
      <c r="E15" s="14"/>
      <c r="F15" s="14"/>
      <c r="G15" s="14"/>
    </row>
    <row r="17" customFormat="false" ht="15" hidden="false" customHeight="false" outlineLevel="0" collapsed="false">
      <c r="A17" s="3" t="s">
        <v>1609</v>
      </c>
    </row>
    <row r="18" customFormat="false" ht="30" hidden="false" customHeight="true" outlineLevel="0" collapsed="false">
      <c r="A18" s="7" t="s">
        <v>1627</v>
      </c>
      <c r="B18" s="7" t="s">
        <v>1628</v>
      </c>
      <c r="C18" s="7" t="s">
        <v>1612</v>
      </c>
      <c r="D18" s="7" t="s">
        <v>1629</v>
      </c>
      <c r="E18" s="7" t="s">
        <v>107</v>
      </c>
    </row>
    <row r="19" customFormat="false" ht="15" hidden="false" customHeight="false" outlineLevel="0" collapsed="false">
      <c r="A19" s="8" t="s">
        <v>1630</v>
      </c>
      <c r="B19" s="8" t="s">
        <v>1631</v>
      </c>
      <c r="C19" s="14"/>
      <c r="D19" s="14"/>
      <c r="E19" s="14"/>
    </row>
    <row r="20" customFormat="false" ht="23.85" hidden="false" customHeight="false" outlineLevel="0" collapsed="false">
      <c r="A20" s="8" t="s">
        <v>1632</v>
      </c>
      <c r="B20" s="8" t="s">
        <v>1633</v>
      </c>
      <c r="C20" s="14"/>
      <c r="D20" s="14"/>
      <c r="E20" s="14"/>
    </row>
    <row r="21" customFormat="false" ht="15" hidden="false" customHeight="false" outlineLevel="0" collapsed="false">
      <c r="A21" s="8" t="s">
        <v>1634</v>
      </c>
      <c r="B21" s="8" t="s">
        <v>1635</v>
      </c>
      <c r="C21" s="14"/>
      <c r="D21" s="14"/>
      <c r="E21" s="14"/>
    </row>
    <row r="22" customFormat="false" ht="15" hidden="false" customHeight="false" outlineLevel="0" collapsed="false">
      <c r="A22" s="8" t="s">
        <v>1636</v>
      </c>
      <c r="B22" s="8" t="s">
        <v>42</v>
      </c>
      <c r="C22" s="14"/>
      <c r="D22" s="14"/>
      <c r="E22" s="14"/>
    </row>
    <row r="23" customFormat="false" ht="15" hidden="false" customHeight="false" outlineLevel="0" collapsed="false">
      <c r="A23" s="8" t="s">
        <v>1637</v>
      </c>
      <c r="B23" s="8" t="s">
        <v>1223</v>
      </c>
      <c r="C23" s="14"/>
      <c r="D23" s="14"/>
      <c r="E23" s="14"/>
    </row>
    <row r="24" customFormat="false" ht="15" hidden="false" customHeight="false" outlineLevel="0" collapsed="false">
      <c r="A24" s="8" t="s">
        <v>1638</v>
      </c>
      <c r="B24" s="8" t="s">
        <v>1639</v>
      </c>
      <c r="C24" s="14"/>
      <c r="D24" s="14"/>
      <c r="E24" s="14"/>
    </row>
  </sheetData>
  <dataValidations count="1">
    <dataValidation allowBlank="true" errorStyle="stop" operator="between" showDropDown="false" showErrorMessage="false" showInputMessage="false" sqref="F4:F15" type="list">
      <formula1>Lists!$G$1:$G$2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30</v>
      </c>
      <c r="B1" s="0" t="s">
        <v>53</v>
      </c>
      <c r="C1" s="0" t="s">
        <v>1640</v>
      </c>
      <c r="D1" s="0" t="s">
        <v>1574</v>
      </c>
      <c r="E1" s="0" t="s">
        <v>1641</v>
      </c>
      <c r="F1" s="0" t="s">
        <v>1578</v>
      </c>
      <c r="G1" s="0" t="s">
        <v>1581</v>
      </c>
    </row>
    <row r="2" customFormat="false" ht="15" hidden="false" customHeight="false" outlineLevel="0" collapsed="false">
      <c r="A2" s="0" t="s">
        <v>31</v>
      </c>
      <c r="B2" s="0" t="s">
        <v>54</v>
      </c>
      <c r="C2" s="0" t="s">
        <v>1642</v>
      </c>
      <c r="D2" s="0" t="s">
        <v>1643</v>
      </c>
      <c r="E2" s="0" t="s">
        <v>397</v>
      </c>
      <c r="F2" s="0" t="s">
        <v>1644</v>
      </c>
      <c r="G2" s="0" t="s">
        <v>1580</v>
      </c>
    </row>
    <row r="3" customFormat="false" ht="15" hidden="false" customHeight="false" outlineLevel="0" collapsed="false">
      <c r="A3" s="0" t="s">
        <v>32</v>
      </c>
      <c r="B3" s="0" t="s">
        <v>55</v>
      </c>
      <c r="C3" s="0" t="s">
        <v>52</v>
      </c>
      <c r="D3" s="0" t="s">
        <v>1645</v>
      </c>
      <c r="E3" s="0" t="s">
        <v>1569</v>
      </c>
      <c r="F3" s="0" t="s">
        <v>1646</v>
      </c>
    </row>
    <row r="4" customFormat="false" ht="15" hidden="false" customHeight="false" outlineLevel="0" collapsed="false">
      <c r="A4" s="0" t="s">
        <v>33</v>
      </c>
      <c r="B4" s="0" t="s">
        <v>56</v>
      </c>
      <c r="C4" s="0" t="s">
        <v>1647</v>
      </c>
      <c r="D4" s="0" t="s">
        <v>1648</v>
      </c>
      <c r="E4" s="0" t="s">
        <v>1649</v>
      </c>
    </row>
    <row r="5" customFormat="false" ht="15" hidden="false" customHeight="false" outlineLevel="0" collapsed="false">
      <c r="A5" s="0" t="s">
        <v>34</v>
      </c>
      <c r="C5" s="0" t="s">
        <v>48</v>
      </c>
      <c r="D5" s="0" t="s">
        <v>1650</v>
      </c>
      <c r="E5" s="0" t="s">
        <v>42</v>
      </c>
    </row>
    <row r="6" customFormat="false" ht="15" hidden="false" customHeight="false" outlineLevel="0" collapsed="false">
      <c r="C6" s="0" t="s">
        <v>49</v>
      </c>
      <c r="E6" s="0" t="s">
        <v>1651</v>
      </c>
    </row>
    <row r="7" customFormat="false" ht="15" hidden="false" customHeight="false" outlineLevel="0" collapsed="false">
      <c r="C7" s="0" t="s">
        <v>50</v>
      </c>
    </row>
    <row r="8" customFormat="false" ht="15" hidden="false" customHeight="false" outlineLevel="0" collapsed="false">
      <c r="C8" s="0" t="s">
        <v>1652</v>
      </c>
    </row>
    <row r="9" customFormat="false" ht="15" hidden="false" customHeight="false" outlineLevel="0" collapsed="false">
      <c r="C9" s="0" t="s">
        <v>1653</v>
      </c>
    </row>
    <row r="10" customFormat="false" ht="15" hidden="false" customHeight="false" outlineLevel="0" collapsed="false">
      <c r="C10" s="0" t="s">
        <v>1654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2026-10-26T17:32:21Z</dcterms:created>
  <dc:creator>openpyxl</dc:creator>
  <dc:description/>
  <dc:language>en-US</dc:language>
  <cp:lastModifiedBy/>
  <dcterms:modified xsi:type="dcterms:W3CDTF">2026-10-26T17:32:22Z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